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7685169e6b72b4b5/Desktop/Projects/"/>
    </mc:Choice>
  </mc:AlternateContent>
  <xr:revisionPtr revIDLastSave="0" documentId="8_{C28DC887-B57D-4C1A-B88C-F9ED32D01F9C}" xr6:coauthVersionLast="47" xr6:coauthVersionMax="47" xr10:uidLastSave="{00000000-0000-0000-0000-000000000000}"/>
  <bookViews>
    <workbookView xWindow="-108" yWindow="-108" windowWidth="23256" windowHeight="12456" activeTab="1" xr2:uid="{AD17E030-241D-4DB6-9371-4ED873D0CE27}"/>
  </bookViews>
  <sheets>
    <sheet name="investment_survey" sheetId="1" r:id="rId1"/>
    <sheet name="Sheet2" sheetId="4" r:id="rId2"/>
    <sheet name="Sheet4" sheetId="8" r:id="rId3"/>
  </sheets>
  <definedNames>
    <definedName name="Slicer_Age">#N/A</definedName>
    <definedName name="Slicer_Gender">#N/A</definedName>
    <definedName name="Slicer_Working_professiona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F102" i="1"/>
</calcChain>
</file>

<file path=xl/sharedStrings.xml><?xml version="1.0" encoding="utf-8"?>
<sst xmlns="http://schemas.openxmlformats.org/spreadsheetml/2006/main" count="552" uniqueCount="57">
  <si>
    <t>Gender</t>
  </si>
  <si>
    <t>Age</t>
  </si>
  <si>
    <t>Working_professional</t>
  </si>
  <si>
    <t>Annual_income</t>
  </si>
  <si>
    <t>Mode_of_investment</t>
  </si>
  <si>
    <t>Investment_per_month</t>
  </si>
  <si>
    <t>Motivation_cause</t>
  </si>
  <si>
    <t>Resources_used</t>
  </si>
  <si>
    <t>Goal_for_investment</t>
  </si>
  <si>
    <t xml:space="preserve">Duration_to_save(in_Years) </t>
  </si>
  <si>
    <t>Male</t>
  </si>
  <si>
    <t>Banking - RD, FD</t>
  </si>
  <si>
    <t>Family member</t>
  </si>
  <si>
    <t>Family members/Friends</t>
  </si>
  <si>
    <t>Wealth generation</t>
  </si>
  <si>
    <t>Female</t>
  </si>
  <si>
    <t>Social media/ Articles</t>
  </si>
  <si>
    <t>Mobile applications</t>
  </si>
  <si>
    <t>Stocks - Intraday, long term</t>
  </si>
  <si>
    <t>News articles / Current affairs</t>
  </si>
  <si>
    <t>Planning for finacial freedom after Retirement</t>
  </si>
  <si>
    <t>Mutual Funds</t>
  </si>
  <si>
    <t>Agents/Investment brokers</t>
  </si>
  <si>
    <t xml:space="preserve">Self Interest </t>
  </si>
  <si>
    <t>Books</t>
  </si>
  <si>
    <t>Crypto currency</t>
  </si>
  <si>
    <t xml:space="preserve">Not prepared </t>
  </si>
  <si>
    <t>No one</t>
  </si>
  <si>
    <t>Gold / Any other Materialistic investment</t>
  </si>
  <si>
    <t>Personal Savings</t>
  </si>
  <si>
    <t>Friends</t>
  </si>
  <si>
    <t>Children's education/ Marriage</t>
  </si>
  <si>
    <t>Self</t>
  </si>
  <si>
    <t>Regarding your / Your Siblings marriage</t>
  </si>
  <si>
    <t>Through Bank</t>
  </si>
  <si>
    <t>Construction of own House / Buying a new Car</t>
  </si>
  <si>
    <t>Nil</t>
  </si>
  <si>
    <t xml:space="preserve">Marketing </t>
  </si>
  <si>
    <t>Real estate, Bonds</t>
  </si>
  <si>
    <t xml:space="preserve">All the above </t>
  </si>
  <si>
    <t xml:space="preserve">Self motivation </t>
  </si>
  <si>
    <t>Tax saving</t>
  </si>
  <si>
    <t xml:space="preserve">Self </t>
  </si>
  <si>
    <t>Chit fund</t>
  </si>
  <si>
    <t>Brokers</t>
  </si>
  <si>
    <t>Schemes</t>
  </si>
  <si>
    <t>Investors in bank</t>
  </si>
  <si>
    <t>Age group</t>
  </si>
  <si>
    <t>above 25</t>
  </si>
  <si>
    <t>below 25</t>
  </si>
  <si>
    <t>Average of Annual_income</t>
  </si>
  <si>
    <t>Total Investment</t>
  </si>
  <si>
    <t>Avg of Annual Income ($)</t>
  </si>
  <si>
    <t>Monthly Investment ($)</t>
  </si>
  <si>
    <t>Avg Duration(Years)</t>
  </si>
  <si>
    <t>No.of People</t>
  </si>
  <si>
    <t>Average of Investment(Monthly)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</si>
</sst>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Franklin Gothic Book"/>
      <family val="2"/>
      <scheme val="minor"/>
    </font>
    <font>
      <sz val="11"/>
      <color theme="1"/>
      <name val="Franklin Gothic Book"/>
      <family val="2"/>
      <scheme val="minor"/>
    </font>
    <font>
      <sz val="18"/>
      <color theme="3"/>
      <name val="Franklin Gothic Medium"/>
      <family val="2"/>
      <scheme val="major"/>
    </font>
    <font>
      <b/>
      <sz val="15"/>
      <color theme="3"/>
      <name val="Franklin Gothic Book"/>
      <family val="2"/>
      <scheme val="minor"/>
    </font>
    <font>
      <b/>
      <sz val="13"/>
      <color theme="3"/>
      <name val="Franklin Gothic Book"/>
      <family val="2"/>
      <scheme val="min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57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11"/>
      <color theme="0"/>
      <name val="Franklin Gothic Book"/>
      <family val="2"/>
      <scheme val="minor"/>
    </font>
    <font>
      <sz val="26"/>
      <color theme="1"/>
      <name val="Franklin Gothic Book"/>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33" borderId="0" xfId="0" applyFill="1"/>
    <xf numFmtId="0" fontId="0" fillId="34" borderId="0" xfId="0" applyFill="1"/>
    <xf numFmtId="2" fontId="0" fillId="0" borderId="0" xfId="0" applyNumberFormat="1"/>
    <xf numFmtId="164" fontId="0" fillId="0" borderId="0" xfId="0" applyNumberFormat="1"/>
    <xf numFmtId="0" fontId="0" fillId="0" borderId="0" xfId="0" applyAlignment="1">
      <alignment horizontal="right"/>
    </xf>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2" formatCode="0.00"/>
    </dxf>
    <dxf>
      <numFmt numFmtId="2" formatCode="0.00"/>
    </dxf>
    <dxf>
      <numFmt numFmtId="2" formatCode="0.00"/>
    </dxf>
    <dxf>
      <alignment horizontal="right"/>
    </dxf>
    <dxf>
      <numFmt numFmtId="164" formatCode="_-[$$-409]* #,##0.00_ ;_-[$$-409]* \-#,##0.00\ ;_-[$$-409]* &quot;-&quot;??_ ;_-@_ "/>
    </dxf>
    <dxf>
      <numFmt numFmtId="164" formatCode="_-[$$-409]* #,##0.00_ ;_-[$$-409]* \-#,##0.00\ ;_-[$$-409]* &quot;-&quot;??_ ;_-@_ "/>
    </dxf>
    <dxf>
      <alignment horizontal="righ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2" formatCode="0.00"/>
    </dxf>
    <dxf>
      <numFmt numFmtId="2" formatCode="0.00"/>
    </dxf>
    <dxf>
      <alignment horizontal="right"/>
    </dxf>
    <dxf>
      <numFmt numFmtId="164" formatCode="_-[$$-409]* #,##0.00_ ;_-[$$-409]* \-#,##0.00\ ;_-[$$-409]* &quot;-&quot;??_ ;_-@_ "/>
    </dxf>
    <dxf>
      <numFmt numFmtId="164" formatCode="_-[$$-409]* #,##0.00_ ;_-[$$-409]* \-#,##0.00\ ;_-[$$-409]* &quot;-&quot;??_ ;_-@_ "/>
    </dxf>
    <dxf>
      <alignment horizontal="righ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2" formatCode="0.00"/>
    </dxf>
    <dxf>
      <numFmt numFmtId="2" formatCode="0.00"/>
    </dxf>
    <dxf>
      <alignment horizontal="right"/>
    </dxf>
    <dxf>
      <numFmt numFmtId="164" formatCode="_-[$$-409]* #,##0.00_ ;_-[$$-409]* \-#,##0.00\ ;_-[$$-409]* &quot;-&quot;??_ ;_-@_ "/>
    </dxf>
    <dxf>
      <numFmt numFmtId="164" formatCode="_-[$$-409]* #,##0.00_ ;_-[$$-409]* \-#,##0.00\ ;_-[$$-409]* &quot;-&quot;??_ ;_-@_ "/>
    </dxf>
    <dxf>
      <alignment horizontal="righ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2" formatCode="0.00"/>
    </dxf>
    <dxf>
      <numFmt numFmtId="2" formatCode="0.00"/>
    </dxf>
    <dxf>
      <numFmt numFmtId="164" formatCode="_-[$$-409]* #,##0.00_ ;_-[$$-409]* \-#,##0.00\ ;_-[$$-409]* &quot;-&quot;??_ ;_-@_ "/>
    </dxf>
    <dxf>
      <alignment horizontal="right"/>
    </dxf>
    <dxf>
      <alignment horizontal="righ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 Dashboard.xlsx]Sheet4!PivotTable14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Sheet4!$A$2:$A$10</c:f>
              <c:strCache>
                <c:ptCount val="9"/>
                <c:pt idx="0">
                  <c:v>Banking - RD, FD</c:v>
                </c:pt>
                <c:pt idx="1">
                  <c:v>Chit fund</c:v>
                </c:pt>
                <c:pt idx="2">
                  <c:v>Crypto currency</c:v>
                </c:pt>
                <c:pt idx="3">
                  <c:v>Gold / Any other Materialistic investment</c:v>
                </c:pt>
                <c:pt idx="4">
                  <c:v>Marketing </c:v>
                </c:pt>
                <c:pt idx="5">
                  <c:v>Mutual Funds</c:v>
                </c:pt>
                <c:pt idx="6">
                  <c:v>Not prepared </c:v>
                </c:pt>
                <c:pt idx="7">
                  <c:v>Real estate, Bonds</c:v>
                </c:pt>
                <c:pt idx="8">
                  <c:v>Stocks - Intraday, long term</c:v>
                </c:pt>
              </c:strCache>
            </c:strRef>
          </c:cat>
          <c:val>
            <c:numRef>
              <c:f>Sheet4!$B$2:$B$10</c:f>
              <c:numCache>
                <c:formatCode>_-[$$-409]* #,##0.00_ ;_-[$$-409]* \-#,##0.00\ ;_-[$$-409]* "-"??_ ;_-@_ </c:formatCode>
                <c:ptCount val="9"/>
                <c:pt idx="0">
                  <c:v>55900</c:v>
                </c:pt>
                <c:pt idx="1">
                  <c:v>1000</c:v>
                </c:pt>
                <c:pt idx="2">
                  <c:v>38000</c:v>
                </c:pt>
                <c:pt idx="3">
                  <c:v>24000</c:v>
                </c:pt>
                <c:pt idx="4">
                  <c:v>5000</c:v>
                </c:pt>
                <c:pt idx="5">
                  <c:v>68100</c:v>
                </c:pt>
                <c:pt idx="6">
                  <c:v>2000</c:v>
                </c:pt>
                <c:pt idx="7">
                  <c:v>24500</c:v>
                </c:pt>
                <c:pt idx="8">
                  <c:v>67810</c:v>
                </c:pt>
              </c:numCache>
            </c:numRef>
          </c:val>
          <c:extLst>
            <c:ext xmlns:c16="http://schemas.microsoft.com/office/drawing/2014/chart" uri="{C3380CC4-5D6E-409C-BE32-E72D297353CC}">
              <c16:uniqueId val="{00000000-4DA4-46EC-950A-E9F3194F4AE1}"/>
            </c:ext>
          </c:extLst>
        </c:ser>
        <c:dLbls>
          <c:dLblPos val="inEnd"/>
          <c:showLegendKey val="0"/>
          <c:showVal val="1"/>
          <c:showCatName val="0"/>
          <c:showSerName val="0"/>
          <c:showPercent val="0"/>
          <c:showBubbleSize val="0"/>
        </c:dLbls>
        <c:gapWidth val="219"/>
        <c:overlap val="-27"/>
        <c:axId val="862292735"/>
        <c:axId val="862290335"/>
      </c:barChart>
      <c:catAx>
        <c:axId val="862292735"/>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a:t>Mode</a:t>
                </a:r>
                <a:r>
                  <a:rPr lang="en-IN" baseline="0"/>
                  <a:t> of Investment</a:t>
                </a:r>
                <a:endParaRPr lang="en-IN"/>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2290335"/>
        <c:crosses val="autoZero"/>
        <c:auto val="1"/>
        <c:lblAlgn val="ctr"/>
        <c:lblOffset val="100"/>
        <c:noMultiLvlLbl val="0"/>
      </c:catAx>
      <c:valAx>
        <c:axId val="862290335"/>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a:t>Total</a:t>
                </a:r>
                <a:r>
                  <a:rPr lang="en-IN" baseline="0"/>
                  <a:t> Investment</a:t>
                </a:r>
                <a:endParaRPr lang="en-IN"/>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622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[Investment_Analysis Dashboard.xlsx]Sheet4!PivotTable15</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317500" algn="ctr" rotWithShape="0">
              <a:prstClr val="black">
                <a:alpha val="25000"/>
              </a:prstClr>
            </a:outerShdw>
          </a:effectLst>
        </c:spPr>
      </c:pivotFmt>
      <c:pivotFmt>
        <c:idx val="3"/>
        <c:spPr>
          <a:solidFill>
            <a:schemeClr val="accent1">
              <a:shade val="76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317500" algn="ctr" rotWithShape="0">
              <a:prstClr val="black">
                <a:alpha val="25000"/>
              </a:prstClr>
            </a:outerShdw>
          </a:effectLst>
        </c:spPr>
      </c:pivotFmt>
      <c:pivotFmt>
        <c:idx val="6"/>
        <c:spPr>
          <a:solidFill>
            <a:schemeClr val="accent1">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Sheet4!$F$1</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C7-44B6-B0DF-E29EAB9B6870}"/>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C7-44B6-B0DF-E29EAB9B687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Sheet4!$E$2:$E$3</c:f>
              <c:strCache>
                <c:ptCount val="2"/>
                <c:pt idx="0">
                  <c:v>Female</c:v>
                </c:pt>
                <c:pt idx="1">
                  <c:v>Male</c:v>
                </c:pt>
              </c:strCache>
            </c:strRef>
          </c:cat>
          <c:val>
            <c:numRef>
              <c:f>Sheet4!$F$2:$F$3</c:f>
              <c:numCache>
                <c:formatCode>_-[$$-409]* #,##0.00_ ;_-[$$-409]* \-#,##0.00\ ;_-[$$-409]* "-"??_ ;_-@_ </c:formatCode>
                <c:ptCount val="2"/>
                <c:pt idx="0">
                  <c:v>83700</c:v>
                </c:pt>
                <c:pt idx="1">
                  <c:v>202610</c:v>
                </c:pt>
              </c:numCache>
            </c:numRef>
          </c:val>
          <c:extLst>
            <c:ext xmlns:c16="http://schemas.microsoft.com/office/drawing/2014/chart" uri="{C3380CC4-5D6E-409C-BE32-E72D297353CC}">
              <c16:uniqueId val="{00000004-632D-40A8-88AB-2B768EE7472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 Dashboard.xlsx]Sheet4!PivotTable16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Sheet4!$F$10</c:f>
              <c:strCache>
                <c:ptCount val="1"/>
                <c:pt idx="0">
                  <c:v>Total</c:v>
                </c:pt>
              </c:strCache>
            </c:strRef>
          </c:tx>
          <c:spPr>
            <a:solidFill>
              <a:schemeClr val="accent1"/>
            </a:solidFill>
            <a:ln>
              <a:noFill/>
            </a:ln>
            <a:effectLst/>
            <a:sp3d/>
          </c:spPr>
          <c:invertIfNegative val="0"/>
          <c:cat>
            <c:strRef>
              <c:f>Sheet4!$E$11:$E$12</c:f>
              <c:strCache>
                <c:ptCount val="2"/>
                <c:pt idx="0">
                  <c:v>below 25</c:v>
                </c:pt>
                <c:pt idx="1">
                  <c:v>above 25</c:v>
                </c:pt>
              </c:strCache>
            </c:strRef>
          </c:cat>
          <c:val>
            <c:numRef>
              <c:f>Sheet4!$F$11:$F$12</c:f>
              <c:numCache>
                <c:formatCode>_-[$$-409]* #,##0.00_ ;_-[$$-409]* \-#,##0.00\ ;_-[$$-409]* "-"??_ ;_-@_ </c:formatCode>
                <c:ptCount val="2"/>
                <c:pt idx="0">
                  <c:v>157110</c:v>
                </c:pt>
                <c:pt idx="1">
                  <c:v>129200</c:v>
                </c:pt>
              </c:numCache>
            </c:numRef>
          </c:val>
          <c:extLst>
            <c:ext xmlns:c16="http://schemas.microsoft.com/office/drawing/2014/chart" uri="{C3380CC4-5D6E-409C-BE32-E72D297353CC}">
              <c16:uniqueId val="{00000000-98C8-4A4A-8DAD-4E0B7E86F314}"/>
            </c:ext>
          </c:extLst>
        </c:ser>
        <c:dLbls>
          <c:showLegendKey val="0"/>
          <c:showVal val="0"/>
          <c:showCatName val="0"/>
          <c:showSerName val="0"/>
          <c:showPercent val="0"/>
          <c:showBubbleSize val="0"/>
        </c:dLbls>
        <c:gapWidth val="150"/>
        <c:shape val="box"/>
        <c:axId val="1014183871"/>
        <c:axId val="1014184351"/>
        <c:axId val="0"/>
      </c:bar3DChart>
      <c:catAx>
        <c:axId val="1014183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14184351"/>
        <c:crosses val="autoZero"/>
        <c:auto val="1"/>
        <c:lblAlgn val="ctr"/>
        <c:lblOffset val="100"/>
        <c:noMultiLvlLbl val="0"/>
      </c:catAx>
      <c:valAx>
        <c:axId val="1014184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Investment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1418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 Dashboard.xlsx]Sheet4!PivotTable18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Sheet4!$E$25:$E$33</c:f>
              <c:strCache>
                <c:ptCount val="9"/>
                <c:pt idx="0">
                  <c:v>Not prepared </c:v>
                </c:pt>
                <c:pt idx="1">
                  <c:v>Mutual Funds</c:v>
                </c:pt>
                <c:pt idx="2">
                  <c:v>Real estate, Bonds</c:v>
                </c:pt>
                <c:pt idx="3">
                  <c:v>Banking - RD, FD</c:v>
                </c:pt>
                <c:pt idx="4">
                  <c:v>Stocks - Intraday, long term</c:v>
                </c:pt>
                <c:pt idx="5">
                  <c:v>Crypto currency</c:v>
                </c:pt>
                <c:pt idx="6">
                  <c:v>Gold / Any other Materialistic investment</c:v>
                </c:pt>
                <c:pt idx="7">
                  <c:v>Marketing </c:v>
                </c:pt>
                <c:pt idx="8">
                  <c:v>Chit fund</c:v>
                </c:pt>
              </c:strCache>
            </c:strRef>
          </c:cat>
          <c:val>
            <c:numRef>
              <c:f>Sheet4!$F$25:$F$33</c:f>
              <c:numCache>
                <c:formatCode>0.00</c:formatCode>
                <c:ptCount val="9"/>
                <c:pt idx="0">
                  <c:v>15</c:v>
                </c:pt>
                <c:pt idx="1">
                  <c:v>9.5769230769230766</c:v>
                </c:pt>
                <c:pt idx="2">
                  <c:v>8.75</c:v>
                </c:pt>
                <c:pt idx="3">
                  <c:v>8.3636363636363633</c:v>
                </c:pt>
                <c:pt idx="4">
                  <c:v>7.3448275862068968</c:v>
                </c:pt>
                <c:pt idx="5">
                  <c:v>6.75</c:v>
                </c:pt>
                <c:pt idx="6">
                  <c:v>5.0909090909090908</c:v>
                </c:pt>
                <c:pt idx="7">
                  <c:v>2</c:v>
                </c:pt>
                <c:pt idx="8">
                  <c:v>1</c:v>
                </c:pt>
              </c:numCache>
            </c:numRef>
          </c:val>
          <c:extLst>
            <c:ext xmlns:c16="http://schemas.microsoft.com/office/drawing/2014/chart" uri="{C3380CC4-5D6E-409C-BE32-E72D297353CC}">
              <c16:uniqueId val="{00000000-8A00-4615-9D21-1AA1FEE73F46}"/>
            </c:ext>
          </c:extLst>
        </c:ser>
        <c:dLbls>
          <c:dLblPos val="outEnd"/>
          <c:showLegendKey val="0"/>
          <c:showVal val="1"/>
          <c:showCatName val="0"/>
          <c:showSerName val="0"/>
          <c:showPercent val="0"/>
          <c:showBubbleSize val="0"/>
        </c:dLbls>
        <c:gapWidth val="182"/>
        <c:axId val="1131010015"/>
        <c:axId val="1130993695"/>
      </c:barChart>
      <c:catAx>
        <c:axId val="113101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30993695"/>
        <c:crosses val="autoZero"/>
        <c:auto val="1"/>
        <c:lblAlgn val="ctr"/>
        <c:lblOffset val="100"/>
        <c:noMultiLvlLbl val="0"/>
      </c:catAx>
      <c:valAx>
        <c:axId val="11309936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1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186612</xdr:colOff>
      <xdr:row>0</xdr:row>
      <xdr:rowOff>46653</xdr:rowOff>
    </xdr:from>
    <xdr:to>
      <xdr:col>38</xdr:col>
      <xdr:colOff>239775</xdr:colOff>
      <xdr:row>62</xdr:row>
      <xdr:rowOff>49450</xdr:rowOff>
    </xdr:to>
    <xdr:sp macro="" textlink="">
      <xdr:nvSpPr>
        <xdr:cNvPr id="3" name="Rectangle 2">
          <a:extLst>
            <a:ext uri="{FF2B5EF4-FFF2-40B4-BE49-F238E27FC236}">
              <a16:creationId xmlns:a16="http://schemas.microsoft.com/office/drawing/2014/main" id="{B9FD7EEE-3AC0-AC17-29E3-0D366EA9B271}"/>
            </a:ext>
          </a:extLst>
        </xdr:cNvPr>
        <xdr:cNvSpPr/>
      </xdr:nvSpPr>
      <xdr:spPr>
        <a:xfrm>
          <a:off x="186612" y="46653"/>
          <a:ext cx="23099775" cy="1157275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0</xdr:row>
      <xdr:rowOff>154266</xdr:rowOff>
    </xdr:from>
    <xdr:to>
      <xdr:col>4</xdr:col>
      <xdr:colOff>134788</xdr:colOff>
      <xdr:row>60</xdr:row>
      <xdr:rowOff>18350</xdr:rowOff>
    </xdr:to>
    <xdr:sp macro="" textlink="">
      <xdr:nvSpPr>
        <xdr:cNvPr id="4" name="Rectangle: Rounded Corners 3">
          <a:extLst>
            <a:ext uri="{FF2B5EF4-FFF2-40B4-BE49-F238E27FC236}">
              <a16:creationId xmlns:a16="http://schemas.microsoft.com/office/drawing/2014/main" id="{16C7C378-6166-D561-8575-AABE12C9B49F}"/>
            </a:ext>
          </a:extLst>
        </xdr:cNvPr>
        <xdr:cNvSpPr/>
      </xdr:nvSpPr>
      <xdr:spPr>
        <a:xfrm rot="5400000">
          <a:off x="-4345208" y="4712834"/>
          <a:ext cx="11964644" cy="2847508"/>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588760</xdr:colOff>
      <xdr:row>1</xdr:row>
      <xdr:rowOff>141858</xdr:rowOff>
    </xdr:from>
    <xdr:to>
      <xdr:col>37</xdr:col>
      <xdr:colOff>517878</xdr:colOff>
      <xdr:row>6</xdr:row>
      <xdr:rowOff>121886</xdr:rowOff>
    </xdr:to>
    <xdr:sp macro="" textlink="">
      <xdr:nvSpPr>
        <xdr:cNvPr id="5" name="Rectangle: Rounded Corners 4">
          <a:extLst>
            <a:ext uri="{FF2B5EF4-FFF2-40B4-BE49-F238E27FC236}">
              <a16:creationId xmlns:a16="http://schemas.microsoft.com/office/drawing/2014/main" id="{44C9FBFA-0874-4FD0-95C9-E3A2FBA9E036}"/>
            </a:ext>
          </a:extLst>
        </xdr:cNvPr>
        <xdr:cNvSpPr/>
      </xdr:nvSpPr>
      <xdr:spPr>
        <a:xfrm rot="10800000">
          <a:off x="3006139" y="325789"/>
          <a:ext cx="19872498" cy="899683"/>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69297</xdr:colOff>
      <xdr:row>7</xdr:row>
      <xdr:rowOff>15368</xdr:rowOff>
    </xdr:from>
    <xdr:to>
      <xdr:col>12</xdr:col>
      <xdr:colOff>277025</xdr:colOff>
      <xdr:row>13</xdr:row>
      <xdr:rowOff>119302</xdr:rowOff>
    </xdr:to>
    <xdr:sp macro="" textlink="">
      <xdr:nvSpPr>
        <xdr:cNvPr id="6" name="Rectangle: Rounded Corners 5">
          <a:extLst>
            <a:ext uri="{FF2B5EF4-FFF2-40B4-BE49-F238E27FC236}">
              <a16:creationId xmlns:a16="http://schemas.microsoft.com/office/drawing/2014/main" id="{4B667D69-BE9D-4E41-8F23-D9ED3EC39AA2}"/>
            </a:ext>
          </a:extLst>
        </xdr:cNvPr>
        <xdr:cNvSpPr/>
      </xdr:nvSpPr>
      <xdr:spPr>
        <a:xfrm rot="10800000">
          <a:off x="3101746" y="1321654"/>
          <a:ext cx="4453157" cy="122360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546453</xdr:colOff>
      <xdr:row>7</xdr:row>
      <xdr:rowOff>28751</xdr:rowOff>
    </xdr:from>
    <xdr:to>
      <xdr:col>20</xdr:col>
      <xdr:colOff>544285</xdr:colOff>
      <xdr:row>13</xdr:row>
      <xdr:rowOff>132685</xdr:rowOff>
    </xdr:to>
    <xdr:sp macro="" textlink="">
      <xdr:nvSpPr>
        <xdr:cNvPr id="7" name="Rectangle: Rounded Corners 6">
          <a:extLst>
            <a:ext uri="{FF2B5EF4-FFF2-40B4-BE49-F238E27FC236}">
              <a16:creationId xmlns:a16="http://schemas.microsoft.com/office/drawing/2014/main" id="{71A2F527-065C-400D-849A-0C14DE174D85}"/>
            </a:ext>
          </a:extLst>
        </xdr:cNvPr>
        <xdr:cNvSpPr/>
      </xdr:nvSpPr>
      <xdr:spPr>
        <a:xfrm rot="10800000">
          <a:off x="7824331" y="1335037"/>
          <a:ext cx="4849750" cy="122360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312829</xdr:colOff>
      <xdr:row>7</xdr:row>
      <xdr:rowOff>61138</xdr:rowOff>
    </xdr:from>
    <xdr:to>
      <xdr:col>29</xdr:col>
      <xdr:colOff>250946</xdr:colOff>
      <xdr:row>13</xdr:row>
      <xdr:rowOff>165072</xdr:rowOff>
    </xdr:to>
    <xdr:sp macro="" textlink="">
      <xdr:nvSpPr>
        <xdr:cNvPr id="8" name="Rectangle: Rounded Corners 7">
          <a:extLst>
            <a:ext uri="{FF2B5EF4-FFF2-40B4-BE49-F238E27FC236}">
              <a16:creationId xmlns:a16="http://schemas.microsoft.com/office/drawing/2014/main" id="{6EEDDC6F-DC6E-4866-9CD8-89187368FB46}"/>
            </a:ext>
          </a:extLst>
        </xdr:cNvPr>
        <xdr:cNvSpPr/>
      </xdr:nvSpPr>
      <xdr:spPr>
        <a:xfrm rot="10800000">
          <a:off x="13049115" y="1367424"/>
          <a:ext cx="4790035" cy="122360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513184</xdr:colOff>
      <xdr:row>7</xdr:row>
      <xdr:rowOff>105661</xdr:rowOff>
    </xdr:from>
    <xdr:to>
      <xdr:col>37</xdr:col>
      <xdr:colOff>301901</xdr:colOff>
      <xdr:row>14</xdr:row>
      <xdr:rowOff>27203</xdr:rowOff>
    </xdr:to>
    <xdr:sp macro="" textlink="">
      <xdr:nvSpPr>
        <xdr:cNvPr id="9" name="Rectangle: Rounded Corners 8">
          <a:extLst>
            <a:ext uri="{FF2B5EF4-FFF2-40B4-BE49-F238E27FC236}">
              <a16:creationId xmlns:a16="http://schemas.microsoft.com/office/drawing/2014/main" id="{965C846C-0D68-4148-8115-1B15D99D7968}"/>
            </a:ext>
          </a:extLst>
        </xdr:cNvPr>
        <xdr:cNvSpPr/>
      </xdr:nvSpPr>
      <xdr:spPr>
        <a:xfrm rot="10800000">
          <a:off x="18101388" y="1411947"/>
          <a:ext cx="4640635" cy="122782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505120</xdr:colOff>
      <xdr:row>15</xdr:row>
      <xdr:rowOff>61945</xdr:rowOff>
    </xdr:from>
    <xdr:to>
      <xdr:col>22</xdr:col>
      <xdr:colOff>61522</xdr:colOff>
      <xdr:row>33</xdr:row>
      <xdr:rowOff>138656</xdr:rowOff>
    </xdr:to>
    <xdr:sp macro="" textlink="">
      <xdr:nvSpPr>
        <xdr:cNvPr id="10" name="Rectangle: Rounded Corners 9">
          <a:extLst>
            <a:ext uri="{FF2B5EF4-FFF2-40B4-BE49-F238E27FC236}">
              <a16:creationId xmlns:a16="http://schemas.microsoft.com/office/drawing/2014/main" id="{880EAC83-FE7D-4A85-83FB-AB531C81FEAA}"/>
            </a:ext>
          </a:extLst>
        </xdr:cNvPr>
        <xdr:cNvSpPr/>
      </xdr:nvSpPr>
      <xdr:spPr>
        <a:xfrm rot="10800000">
          <a:off x="2920516" y="2865530"/>
          <a:ext cx="10425685" cy="3441013"/>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239411</xdr:colOff>
      <xdr:row>15</xdr:row>
      <xdr:rowOff>58968</xdr:rowOff>
    </xdr:from>
    <xdr:to>
      <xdr:col>37</xdr:col>
      <xdr:colOff>416622</xdr:colOff>
      <xdr:row>33</xdr:row>
      <xdr:rowOff>115225</xdr:rowOff>
    </xdr:to>
    <xdr:sp macro="" textlink="">
      <xdr:nvSpPr>
        <xdr:cNvPr id="11" name="Rectangle: Rounded Corners 10">
          <a:extLst>
            <a:ext uri="{FF2B5EF4-FFF2-40B4-BE49-F238E27FC236}">
              <a16:creationId xmlns:a16="http://schemas.microsoft.com/office/drawing/2014/main" id="{F6FF8F8D-15DB-4B50-B314-F82933DCB64F}"/>
            </a:ext>
          </a:extLst>
        </xdr:cNvPr>
        <xdr:cNvSpPr/>
      </xdr:nvSpPr>
      <xdr:spPr>
        <a:xfrm rot="10800000">
          <a:off x="13582187" y="2858152"/>
          <a:ext cx="9274557" cy="341527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24190</xdr:colOff>
      <xdr:row>35</xdr:row>
      <xdr:rowOff>145143</xdr:rowOff>
    </xdr:from>
    <xdr:to>
      <xdr:col>15</xdr:col>
      <xdr:colOff>8643</xdr:colOff>
      <xdr:row>58</xdr:row>
      <xdr:rowOff>87738</xdr:rowOff>
    </xdr:to>
    <xdr:sp macro="" textlink="">
      <xdr:nvSpPr>
        <xdr:cNvPr id="12" name="Rectangle: Rounded Corners 11">
          <a:extLst>
            <a:ext uri="{FF2B5EF4-FFF2-40B4-BE49-F238E27FC236}">
              <a16:creationId xmlns:a16="http://schemas.microsoft.com/office/drawing/2014/main" id="{39CADA43-792C-4D39-8BED-63E4F25221C8}"/>
            </a:ext>
          </a:extLst>
        </xdr:cNvPr>
        <xdr:cNvSpPr/>
      </xdr:nvSpPr>
      <xdr:spPr>
        <a:xfrm rot="10800000">
          <a:off x="3048000" y="6495143"/>
          <a:ext cx="6032072" cy="4115452"/>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311271</xdr:colOff>
      <xdr:row>35</xdr:row>
      <xdr:rowOff>142752</xdr:rowOff>
    </xdr:from>
    <xdr:to>
      <xdr:col>25</xdr:col>
      <xdr:colOff>472704</xdr:colOff>
      <xdr:row>58</xdr:row>
      <xdr:rowOff>94515</xdr:rowOff>
    </xdr:to>
    <xdr:sp macro="" textlink="">
      <xdr:nvSpPr>
        <xdr:cNvPr id="14" name="Rectangle: Rounded Corners 13">
          <a:extLst>
            <a:ext uri="{FF2B5EF4-FFF2-40B4-BE49-F238E27FC236}">
              <a16:creationId xmlns:a16="http://schemas.microsoft.com/office/drawing/2014/main" id="{19F666BE-88D4-4EE7-AB11-FFD8E831BD9B}"/>
            </a:ext>
          </a:extLst>
        </xdr:cNvPr>
        <xdr:cNvSpPr/>
      </xdr:nvSpPr>
      <xdr:spPr>
        <a:xfrm rot="10800000">
          <a:off x="9376443" y="6816821"/>
          <a:ext cx="6204882" cy="418217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487325</xdr:colOff>
      <xdr:row>35</xdr:row>
      <xdr:rowOff>21797</xdr:rowOff>
    </xdr:from>
    <xdr:to>
      <xdr:col>37</xdr:col>
      <xdr:colOff>35441</xdr:colOff>
      <xdr:row>57</xdr:row>
      <xdr:rowOff>150770</xdr:rowOff>
    </xdr:to>
    <xdr:sp macro="" textlink="">
      <xdr:nvSpPr>
        <xdr:cNvPr id="15" name="Rectangle: Rounded Corners 14">
          <a:extLst>
            <a:ext uri="{FF2B5EF4-FFF2-40B4-BE49-F238E27FC236}">
              <a16:creationId xmlns:a16="http://schemas.microsoft.com/office/drawing/2014/main" id="{2CBFC13B-820C-45B2-BC95-E5643B9E82F3}"/>
            </a:ext>
          </a:extLst>
        </xdr:cNvPr>
        <xdr:cNvSpPr/>
      </xdr:nvSpPr>
      <xdr:spPr>
        <a:xfrm rot="10800000">
          <a:off x="16152627" y="6224123"/>
          <a:ext cx="6175744" cy="4027577"/>
        </a:xfrm>
        <a:prstGeom prst="roundRect">
          <a:avLst/>
        </a:prstGeom>
        <a:solidFill>
          <a:schemeClr val="bg2">
            <a:lumMod val="9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271221</xdr:colOff>
      <xdr:row>2</xdr:row>
      <xdr:rowOff>162792</xdr:rowOff>
    </xdr:from>
    <xdr:to>
      <xdr:col>3</xdr:col>
      <xdr:colOff>324083</xdr:colOff>
      <xdr:row>6</xdr:row>
      <xdr:rowOff>91909</xdr:rowOff>
    </xdr:to>
    <xdr:sp macro="" textlink="">
      <xdr:nvSpPr>
        <xdr:cNvPr id="16" name="TextBox 15">
          <a:extLst>
            <a:ext uri="{FF2B5EF4-FFF2-40B4-BE49-F238E27FC236}">
              <a16:creationId xmlns:a16="http://schemas.microsoft.com/office/drawing/2014/main" id="{4C9807BA-7A9C-9561-3566-B898EDDEF009}"/>
            </a:ext>
          </a:extLst>
        </xdr:cNvPr>
        <xdr:cNvSpPr txBox="1"/>
      </xdr:nvSpPr>
      <xdr:spPr>
        <a:xfrm>
          <a:off x="271221" y="524419"/>
          <a:ext cx="1873913" cy="652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3600" b="1" i="1" u="sng"/>
        </a:p>
      </xdr:txBody>
    </xdr:sp>
    <xdr:clientData/>
  </xdr:twoCellAnchor>
  <xdr:twoCellAnchor editAs="oneCell">
    <xdr:from>
      <xdr:col>0</xdr:col>
      <xdr:colOff>408381</xdr:colOff>
      <xdr:row>2</xdr:row>
      <xdr:rowOff>178032</xdr:rowOff>
    </xdr:from>
    <xdr:to>
      <xdr:col>3</xdr:col>
      <xdr:colOff>447916</xdr:colOff>
      <xdr:row>6</xdr:row>
      <xdr:rowOff>53986</xdr:rowOff>
    </xdr:to>
    <xdr:pic>
      <xdr:nvPicPr>
        <xdr:cNvPr id="17" name="Picture 16">
          <a:extLst>
            <a:ext uri="{FF2B5EF4-FFF2-40B4-BE49-F238E27FC236}">
              <a16:creationId xmlns:a16="http://schemas.microsoft.com/office/drawing/2014/main" id="{43EE46D4-1CAA-9B14-689A-F9698965A5A0}"/>
            </a:ext>
          </a:extLst>
        </xdr:cNvPr>
        <xdr:cNvPicPr>
          <a:picLocks noChangeAspect="1"/>
        </xdr:cNvPicPr>
      </xdr:nvPicPr>
      <xdr:blipFill>
        <a:blip xmlns:r="http://schemas.openxmlformats.org/officeDocument/2006/relationships" r:embed="rId1"/>
        <a:stretch>
          <a:fillRect/>
        </a:stretch>
      </xdr:blipFill>
      <xdr:spPr>
        <a:xfrm>
          <a:off x="408381" y="574272"/>
          <a:ext cx="2234095" cy="668434"/>
        </a:xfrm>
        <a:prstGeom prst="rect">
          <a:avLst/>
        </a:prstGeom>
      </xdr:spPr>
    </xdr:pic>
    <xdr:clientData/>
  </xdr:twoCellAnchor>
  <xdr:twoCellAnchor>
    <xdr:from>
      <xdr:col>15</xdr:col>
      <xdr:colOff>105104</xdr:colOff>
      <xdr:row>2</xdr:row>
      <xdr:rowOff>105103</xdr:rowOff>
    </xdr:from>
    <xdr:to>
      <xdr:col>28</xdr:col>
      <xdr:colOff>197069</xdr:colOff>
      <xdr:row>5</xdr:row>
      <xdr:rowOff>91965</xdr:rowOff>
    </xdr:to>
    <xdr:sp macro="" textlink="">
      <xdr:nvSpPr>
        <xdr:cNvPr id="23" name="TextBox 22">
          <a:extLst>
            <a:ext uri="{FF2B5EF4-FFF2-40B4-BE49-F238E27FC236}">
              <a16:creationId xmlns:a16="http://schemas.microsoft.com/office/drawing/2014/main" id="{DA5B41BF-AC33-3434-A927-2BEA015D28F1}"/>
            </a:ext>
          </a:extLst>
        </xdr:cNvPr>
        <xdr:cNvSpPr txBox="1"/>
      </xdr:nvSpPr>
      <xdr:spPr>
        <a:xfrm>
          <a:off x="9170276" y="472965"/>
          <a:ext cx="7948448" cy="53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1" u="sng"/>
            <a:t>INVESTMENT ANALYSIS DASHBOARD</a:t>
          </a:r>
        </a:p>
      </xdr:txBody>
    </xdr:sp>
    <xdr:clientData/>
  </xdr:twoCellAnchor>
  <xdr:twoCellAnchor editAs="oneCell">
    <xdr:from>
      <xdr:col>13</xdr:col>
      <xdr:colOff>486102</xdr:colOff>
      <xdr:row>1</xdr:row>
      <xdr:rowOff>26276</xdr:rowOff>
    </xdr:from>
    <xdr:to>
      <xdr:col>14</xdr:col>
      <xdr:colOff>673895</xdr:colOff>
      <xdr:row>6</xdr:row>
      <xdr:rowOff>21021</xdr:rowOff>
    </xdr:to>
    <xdr:pic>
      <xdr:nvPicPr>
        <xdr:cNvPr id="25" name="Graphic 24" descr="Group brainstorm with solid fill">
          <a:extLst>
            <a:ext uri="{FF2B5EF4-FFF2-40B4-BE49-F238E27FC236}">
              <a16:creationId xmlns:a16="http://schemas.microsoft.com/office/drawing/2014/main" id="{737067FA-43DA-031D-EDE2-60E3C5034FB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342585" y="210207"/>
          <a:ext cx="914400" cy="914400"/>
        </a:xfrm>
        <a:prstGeom prst="rect">
          <a:avLst/>
        </a:prstGeom>
      </xdr:spPr>
    </xdr:pic>
    <xdr:clientData/>
  </xdr:twoCellAnchor>
  <xdr:twoCellAnchor>
    <xdr:from>
      <xdr:col>6</xdr:col>
      <xdr:colOff>233264</xdr:colOff>
      <xdr:row>7</xdr:row>
      <xdr:rowOff>171061</xdr:rowOff>
    </xdr:from>
    <xdr:to>
      <xdr:col>11</xdr:col>
      <xdr:colOff>559836</xdr:colOff>
      <xdr:row>10</xdr:row>
      <xdr:rowOff>77756</xdr:rowOff>
    </xdr:to>
    <xdr:sp macro="" textlink="">
      <xdr:nvSpPr>
        <xdr:cNvPr id="2" name="TextBox 1">
          <a:extLst>
            <a:ext uri="{FF2B5EF4-FFF2-40B4-BE49-F238E27FC236}">
              <a16:creationId xmlns:a16="http://schemas.microsoft.com/office/drawing/2014/main" id="{5AF52820-95FF-7C39-D557-E0E6B7E2924E}"/>
            </a:ext>
          </a:extLst>
        </xdr:cNvPr>
        <xdr:cNvSpPr txBox="1"/>
      </xdr:nvSpPr>
      <xdr:spPr>
        <a:xfrm>
          <a:off x="3872203" y="1477347"/>
          <a:ext cx="3359021" cy="46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a:t>
          </a:r>
          <a:r>
            <a:rPr lang="en-IN" sz="2400" b="1" baseline="0"/>
            <a:t> INVESTMENT</a:t>
          </a:r>
          <a:endParaRPr lang="en-IN" sz="2400" b="1"/>
        </a:p>
      </xdr:txBody>
    </xdr:sp>
    <xdr:clientData/>
  </xdr:twoCellAnchor>
  <xdr:twoCellAnchor>
    <xdr:from>
      <xdr:col>7</xdr:col>
      <xdr:colOff>450979</xdr:colOff>
      <xdr:row>9</xdr:row>
      <xdr:rowOff>139960</xdr:rowOff>
    </xdr:from>
    <xdr:to>
      <xdr:col>11</xdr:col>
      <xdr:colOff>124408</xdr:colOff>
      <xdr:row>12</xdr:row>
      <xdr:rowOff>15551</xdr:rowOff>
    </xdr:to>
    <xdr:sp macro="" textlink="">
      <xdr:nvSpPr>
        <xdr:cNvPr id="27" name="TextBox 26">
          <a:extLst>
            <a:ext uri="{FF2B5EF4-FFF2-40B4-BE49-F238E27FC236}">
              <a16:creationId xmlns:a16="http://schemas.microsoft.com/office/drawing/2014/main" id="{9E5243D2-2DDF-54AA-CFC8-88E9FA925E1C}"/>
            </a:ext>
          </a:extLst>
        </xdr:cNvPr>
        <xdr:cNvSpPr txBox="1"/>
      </xdr:nvSpPr>
      <xdr:spPr>
        <a:xfrm>
          <a:off x="4696408" y="1819470"/>
          <a:ext cx="209938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$286310</a:t>
          </a:r>
          <a:r>
            <a:rPr lang="en-IN" sz="2800">
              <a:effectLst/>
            </a:rPr>
            <a:t> </a:t>
          </a:r>
          <a:endParaRPr lang="en-IN" sz="2800"/>
        </a:p>
      </xdr:txBody>
    </xdr:sp>
    <xdr:clientData/>
  </xdr:twoCellAnchor>
  <xdr:twoCellAnchor editAs="oneCell">
    <xdr:from>
      <xdr:col>6</xdr:col>
      <xdr:colOff>93306</xdr:colOff>
      <xdr:row>7</xdr:row>
      <xdr:rowOff>46653</xdr:rowOff>
    </xdr:from>
    <xdr:to>
      <xdr:col>6</xdr:col>
      <xdr:colOff>637592</xdr:colOff>
      <xdr:row>10</xdr:row>
      <xdr:rowOff>31103</xdr:rowOff>
    </xdr:to>
    <xdr:pic>
      <xdr:nvPicPr>
        <xdr:cNvPr id="29" name="Graphic 28" descr="Money with solid fill">
          <a:extLst>
            <a:ext uri="{FF2B5EF4-FFF2-40B4-BE49-F238E27FC236}">
              <a16:creationId xmlns:a16="http://schemas.microsoft.com/office/drawing/2014/main" id="{48783C6D-77F6-C710-6571-2E24E5ADDC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32245" y="1352939"/>
          <a:ext cx="544286" cy="544286"/>
        </a:xfrm>
        <a:prstGeom prst="rect">
          <a:avLst/>
        </a:prstGeom>
      </xdr:spPr>
    </xdr:pic>
    <xdr:clientData/>
  </xdr:twoCellAnchor>
  <xdr:twoCellAnchor>
    <xdr:from>
      <xdr:col>14</xdr:col>
      <xdr:colOff>264367</xdr:colOff>
      <xdr:row>7</xdr:row>
      <xdr:rowOff>155511</xdr:rowOff>
    </xdr:from>
    <xdr:to>
      <xdr:col>20</xdr:col>
      <xdr:colOff>482081</xdr:colOff>
      <xdr:row>10</xdr:row>
      <xdr:rowOff>1</xdr:rowOff>
    </xdr:to>
    <xdr:sp macro="" textlink="">
      <xdr:nvSpPr>
        <xdr:cNvPr id="30" name="TextBox 29">
          <a:extLst>
            <a:ext uri="{FF2B5EF4-FFF2-40B4-BE49-F238E27FC236}">
              <a16:creationId xmlns:a16="http://schemas.microsoft.com/office/drawing/2014/main" id="{16EEB3C7-9B98-3E0B-F7C7-3495916D8DE9}"/>
            </a:ext>
          </a:extLst>
        </xdr:cNvPr>
        <xdr:cNvSpPr txBox="1"/>
      </xdr:nvSpPr>
      <xdr:spPr>
        <a:xfrm>
          <a:off x="8755224" y="1461797"/>
          <a:ext cx="3856653" cy="40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AVERAGE INVESTMENT</a:t>
          </a:r>
          <a:r>
            <a:rPr lang="en-IN" sz="2400" b="1" baseline="0"/>
            <a:t> (M)</a:t>
          </a:r>
          <a:endParaRPr lang="en-IN" sz="2400" b="1"/>
        </a:p>
      </xdr:txBody>
    </xdr:sp>
    <xdr:clientData/>
  </xdr:twoCellAnchor>
  <xdr:twoCellAnchor>
    <xdr:from>
      <xdr:col>14</xdr:col>
      <xdr:colOff>419877</xdr:colOff>
      <xdr:row>9</xdr:row>
      <xdr:rowOff>155510</xdr:rowOff>
    </xdr:from>
    <xdr:to>
      <xdr:col>18</xdr:col>
      <xdr:colOff>357673</xdr:colOff>
      <xdr:row>12</xdr:row>
      <xdr:rowOff>108856</xdr:rowOff>
    </xdr:to>
    <xdr:sp macro="" textlink="">
      <xdr:nvSpPr>
        <xdr:cNvPr id="31" name="TextBox 30">
          <a:extLst>
            <a:ext uri="{FF2B5EF4-FFF2-40B4-BE49-F238E27FC236}">
              <a16:creationId xmlns:a16="http://schemas.microsoft.com/office/drawing/2014/main" id="{EF38289D-1D1F-A06B-40FE-2B20FE3E3FAD}"/>
            </a:ext>
          </a:extLst>
        </xdr:cNvPr>
        <xdr:cNvSpPr txBox="1"/>
      </xdr:nvSpPr>
      <xdr:spPr>
        <a:xfrm>
          <a:off x="8910734" y="1835020"/>
          <a:ext cx="2363755" cy="513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$2951.649485</a:t>
          </a:r>
          <a:r>
            <a:rPr lang="en-IN" sz="2800" b="1">
              <a:effectLst/>
            </a:rPr>
            <a:t> </a:t>
          </a:r>
          <a:endParaRPr lang="en-IN" sz="2800" b="1"/>
        </a:p>
      </xdr:txBody>
    </xdr:sp>
    <xdr:clientData/>
  </xdr:twoCellAnchor>
  <xdr:twoCellAnchor editAs="oneCell">
    <xdr:from>
      <xdr:col>13</xdr:col>
      <xdr:colOff>342124</xdr:colOff>
      <xdr:row>7</xdr:row>
      <xdr:rowOff>46655</xdr:rowOff>
    </xdr:from>
    <xdr:to>
      <xdr:col>14</xdr:col>
      <xdr:colOff>186612</xdr:colOff>
      <xdr:row>10</xdr:row>
      <xdr:rowOff>62205</xdr:rowOff>
    </xdr:to>
    <xdr:pic>
      <xdr:nvPicPr>
        <xdr:cNvPr id="34" name="Graphic 33" descr="Bar chart with solid fill">
          <a:extLst>
            <a:ext uri="{FF2B5EF4-FFF2-40B4-BE49-F238E27FC236}">
              <a16:creationId xmlns:a16="http://schemas.microsoft.com/office/drawing/2014/main" id="{7EB948BD-F5E9-4A1B-A549-883B8590EA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26491" y="1352941"/>
          <a:ext cx="575386" cy="575386"/>
        </a:xfrm>
        <a:prstGeom prst="rect">
          <a:avLst/>
        </a:prstGeom>
      </xdr:spPr>
    </xdr:pic>
    <xdr:clientData/>
  </xdr:twoCellAnchor>
  <xdr:twoCellAnchor>
    <xdr:from>
      <xdr:col>22</xdr:col>
      <xdr:colOff>482081</xdr:colOff>
      <xdr:row>7</xdr:row>
      <xdr:rowOff>139958</xdr:rowOff>
    </xdr:from>
    <xdr:to>
      <xdr:col>28</xdr:col>
      <xdr:colOff>77755</xdr:colOff>
      <xdr:row>10</xdr:row>
      <xdr:rowOff>108857</xdr:rowOff>
    </xdr:to>
    <xdr:sp macro="" textlink="">
      <xdr:nvSpPr>
        <xdr:cNvPr id="35" name="TextBox 34">
          <a:extLst>
            <a:ext uri="{FF2B5EF4-FFF2-40B4-BE49-F238E27FC236}">
              <a16:creationId xmlns:a16="http://schemas.microsoft.com/office/drawing/2014/main" id="{641ADD24-1139-E9F1-D749-028AD5913F6C}"/>
            </a:ext>
          </a:extLst>
        </xdr:cNvPr>
        <xdr:cNvSpPr txBox="1"/>
      </xdr:nvSpPr>
      <xdr:spPr>
        <a:xfrm>
          <a:off x="13824857" y="1446244"/>
          <a:ext cx="3234612" cy="52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a:t>
          </a:r>
          <a:r>
            <a:rPr lang="en-IN" sz="2400" b="1" baseline="0"/>
            <a:t> INCOME</a:t>
          </a:r>
          <a:endParaRPr lang="en-IN" sz="2400" b="1"/>
        </a:p>
      </xdr:txBody>
    </xdr:sp>
    <xdr:clientData/>
  </xdr:twoCellAnchor>
  <xdr:twoCellAnchor editAs="oneCell">
    <xdr:from>
      <xdr:col>22</xdr:col>
      <xdr:colOff>482081</xdr:colOff>
      <xdr:row>7</xdr:row>
      <xdr:rowOff>0</xdr:rowOff>
    </xdr:from>
    <xdr:to>
      <xdr:col>23</xdr:col>
      <xdr:colOff>357673</xdr:colOff>
      <xdr:row>10</xdr:row>
      <xdr:rowOff>46654</xdr:rowOff>
    </xdr:to>
    <xdr:pic>
      <xdr:nvPicPr>
        <xdr:cNvPr id="39" name="Graphic 38" descr="Money with solid fill">
          <a:extLst>
            <a:ext uri="{FF2B5EF4-FFF2-40B4-BE49-F238E27FC236}">
              <a16:creationId xmlns:a16="http://schemas.microsoft.com/office/drawing/2014/main" id="{5E4386F4-FE80-4253-8FBA-5E6F00A987C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824857" y="1306286"/>
          <a:ext cx="606490" cy="606490"/>
        </a:xfrm>
        <a:prstGeom prst="rect">
          <a:avLst/>
        </a:prstGeom>
      </xdr:spPr>
    </xdr:pic>
    <xdr:clientData/>
  </xdr:twoCellAnchor>
  <xdr:twoCellAnchor>
    <xdr:from>
      <xdr:col>23</xdr:col>
      <xdr:colOff>202165</xdr:colOff>
      <xdr:row>10</xdr:row>
      <xdr:rowOff>15551</xdr:rowOff>
    </xdr:from>
    <xdr:to>
      <xdr:col>27</xdr:col>
      <xdr:colOff>155512</xdr:colOff>
      <xdr:row>12</xdr:row>
      <xdr:rowOff>124408</xdr:rowOff>
    </xdr:to>
    <xdr:sp macro="" textlink="">
      <xdr:nvSpPr>
        <xdr:cNvPr id="40" name="TextBox 39">
          <a:extLst>
            <a:ext uri="{FF2B5EF4-FFF2-40B4-BE49-F238E27FC236}">
              <a16:creationId xmlns:a16="http://schemas.microsoft.com/office/drawing/2014/main" id="{86C9DEEB-1DE6-3C98-8172-A90645CE8BC0}"/>
            </a:ext>
          </a:extLst>
        </xdr:cNvPr>
        <xdr:cNvSpPr txBox="1"/>
      </xdr:nvSpPr>
      <xdr:spPr>
        <a:xfrm>
          <a:off x="14151430" y="1881673"/>
          <a:ext cx="2379306" cy="48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a:solidFill>
                <a:schemeClr val="dk1"/>
              </a:solidFill>
              <a:effectLst/>
              <a:latin typeface="+mn-lt"/>
              <a:ea typeface="+mn-ea"/>
              <a:cs typeface="+mn-cs"/>
            </a:rPr>
            <a:t>$</a:t>
          </a:r>
          <a:r>
            <a:rPr lang="en-IN" sz="2800" b="1" i="0" u="none" strike="noStrike">
              <a:solidFill>
                <a:schemeClr val="dk1"/>
              </a:solidFill>
              <a:effectLst/>
              <a:latin typeface="+mn-lt"/>
              <a:ea typeface="+mn-ea"/>
              <a:cs typeface="+mn-cs"/>
            </a:rPr>
            <a:t>16644080</a:t>
          </a:r>
          <a:r>
            <a:rPr lang="en-IN" sz="2800" b="1">
              <a:effectLst/>
            </a:rPr>
            <a:t> </a:t>
          </a:r>
          <a:endParaRPr lang="en-IN" sz="2800" b="1"/>
        </a:p>
      </xdr:txBody>
    </xdr:sp>
    <xdr:clientData/>
  </xdr:twoCellAnchor>
  <xdr:twoCellAnchor>
    <xdr:from>
      <xdr:col>31</xdr:col>
      <xdr:colOff>93306</xdr:colOff>
      <xdr:row>7</xdr:row>
      <xdr:rowOff>171061</xdr:rowOff>
    </xdr:from>
    <xdr:to>
      <xdr:col>37</xdr:col>
      <xdr:colOff>15551</xdr:colOff>
      <xdr:row>10</xdr:row>
      <xdr:rowOff>139960</xdr:rowOff>
    </xdr:to>
    <xdr:sp macro="" textlink="">
      <xdr:nvSpPr>
        <xdr:cNvPr id="41" name="TextBox 40">
          <a:extLst>
            <a:ext uri="{FF2B5EF4-FFF2-40B4-BE49-F238E27FC236}">
              <a16:creationId xmlns:a16="http://schemas.microsoft.com/office/drawing/2014/main" id="{73B72B32-5AF2-6E03-6CCA-3B583A496B5C}"/>
            </a:ext>
          </a:extLst>
        </xdr:cNvPr>
        <xdr:cNvSpPr txBox="1"/>
      </xdr:nvSpPr>
      <xdr:spPr>
        <a:xfrm>
          <a:off x="18894490" y="1477347"/>
          <a:ext cx="3561183" cy="52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WORKING</a:t>
          </a:r>
          <a:r>
            <a:rPr lang="en-IN" sz="2400" b="1" baseline="0"/>
            <a:t>  PROFESSIONAL </a:t>
          </a:r>
          <a:endParaRPr lang="en-IN" sz="2400" b="1"/>
        </a:p>
      </xdr:txBody>
    </xdr:sp>
    <xdr:clientData/>
  </xdr:twoCellAnchor>
  <xdr:twoCellAnchor editAs="oneCell">
    <xdr:from>
      <xdr:col>30</xdr:col>
      <xdr:colOff>202164</xdr:colOff>
      <xdr:row>7</xdr:row>
      <xdr:rowOff>62204</xdr:rowOff>
    </xdr:from>
    <xdr:to>
      <xdr:col>31</xdr:col>
      <xdr:colOff>62206</xdr:colOff>
      <xdr:row>10</xdr:row>
      <xdr:rowOff>93308</xdr:rowOff>
    </xdr:to>
    <xdr:pic>
      <xdr:nvPicPr>
        <xdr:cNvPr id="44" name="Graphic 43" descr="Employee badge with solid fill">
          <a:extLst>
            <a:ext uri="{FF2B5EF4-FFF2-40B4-BE49-F238E27FC236}">
              <a16:creationId xmlns:a16="http://schemas.microsoft.com/office/drawing/2014/main" id="{7FF841BF-A47F-4BDD-A86E-B1FB4C3B06A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396858" y="1368490"/>
          <a:ext cx="590940" cy="590940"/>
        </a:xfrm>
        <a:prstGeom prst="rect">
          <a:avLst/>
        </a:prstGeom>
      </xdr:spPr>
    </xdr:pic>
    <xdr:clientData/>
  </xdr:twoCellAnchor>
  <xdr:twoCellAnchor>
    <xdr:from>
      <xdr:col>31</xdr:col>
      <xdr:colOff>186612</xdr:colOff>
      <xdr:row>10</xdr:row>
      <xdr:rowOff>0</xdr:rowOff>
    </xdr:from>
    <xdr:to>
      <xdr:col>35</xdr:col>
      <xdr:colOff>513182</xdr:colOff>
      <xdr:row>12</xdr:row>
      <xdr:rowOff>139959</xdr:rowOff>
    </xdr:to>
    <xdr:sp macro="" textlink="">
      <xdr:nvSpPr>
        <xdr:cNvPr id="46" name="TextBox 45">
          <a:extLst>
            <a:ext uri="{FF2B5EF4-FFF2-40B4-BE49-F238E27FC236}">
              <a16:creationId xmlns:a16="http://schemas.microsoft.com/office/drawing/2014/main" id="{1DC46E67-B9C6-391B-345B-9B921271E6B9}"/>
            </a:ext>
          </a:extLst>
        </xdr:cNvPr>
        <xdr:cNvSpPr txBox="1"/>
      </xdr:nvSpPr>
      <xdr:spPr>
        <a:xfrm>
          <a:off x="18987796" y="1866122"/>
          <a:ext cx="2752529" cy="513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59</a:t>
          </a:r>
        </a:p>
      </xdr:txBody>
    </xdr:sp>
    <xdr:clientData/>
  </xdr:twoCellAnchor>
  <xdr:twoCellAnchor>
    <xdr:from>
      <xdr:col>5</xdr:col>
      <xdr:colOff>102219</xdr:colOff>
      <xdr:row>15</xdr:row>
      <xdr:rowOff>80182</xdr:rowOff>
    </xdr:from>
    <xdr:to>
      <xdr:col>15</xdr:col>
      <xdr:colOff>321527</xdr:colOff>
      <xdr:row>17</xdr:row>
      <xdr:rowOff>141515</xdr:rowOff>
    </xdr:to>
    <xdr:sp macro="" textlink="">
      <xdr:nvSpPr>
        <xdr:cNvPr id="50" name="TextBox 49">
          <a:extLst>
            <a:ext uri="{FF2B5EF4-FFF2-40B4-BE49-F238E27FC236}">
              <a16:creationId xmlns:a16="http://schemas.microsoft.com/office/drawing/2014/main" id="{3990E039-52C6-1E20-9A63-C05A2351378B}"/>
            </a:ext>
          </a:extLst>
        </xdr:cNvPr>
        <xdr:cNvSpPr txBox="1"/>
      </xdr:nvSpPr>
      <xdr:spPr>
        <a:xfrm>
          <a:off x="3150219" y="2856039"/>
          <a:ext cx="6315308" cy="43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a:t>
          </a:r>
          <a:r>
            <a:rPr lang="en-IN" sz="2400" b="1" baseline="0"/>
            <a:t> INVESTMENT BT MODE OF INVESTMENT</a:t>
          </a:r>
          <a:endParaRPr lang="en-IN" sz="2400" b="1"/>
        </a:p>
      </xdr:txBody>
    </xdr:sp>
    <xdr:clientData/>
  </xdr:twoCellAnchor>
  <xdr:twoCellAnchor>
    <xdr:from>
      <xdr:col>5</xdr:col>
      <xdr:colOff>64576</xdr:colOff>
      <xdr:row>17</xdr:row>
      <xdr:rowOff>157443</xdr:rowOff>
    </xdr:from>
    <xdr:to>
      <xdr:col>21</xdr:col>
      <xdr:colOff>14654</xdr:colOff>
      <xdr:row>33</xdr:row>
      <xdr:rowOff>7627</xdr:rowOff>
    </xdr:to>
    <xdr:graphicFrame macro="">
      <xdr:nvGraphicFramePr>
        <xdr:cNvPr id="51" name="Chart 50">
          <a:extLst>
            <a:ext uri="{FF2B5EF4-FFF2-40B4-BE49-F238E27FC236}">
              <a16:creationId xmlns:a16="http://schemas.microsoft.com/office/drawing/2014/main" id="{8B75E107-A284-4D58-A6B6-09FC70C32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569928</xdr:colOff>
      <xdr:row>17</xdr:row>
      <xdr:rowOff>54429</xdr:rowOff>
    </xdr:from>
    <xdr:to>
      <xdr:col>37</xdr:col>
      <xdr:colOff>290285</xdr:colOff>
      <xdr:row>32</xdr:row>
      <xdr:rowOff>146172</xdr:rowOff>
    </xdr:to>
    <xdr:graphicFrame macro="">
      <xdr:nvGraphicFramePr>
        <xdr:cNvPr id="52" name="Chart 51">
          <a:extLst>
            <a:ext uri="{FF2B5EF4-FFF2-40B4-BE49-F238E27FC236}">
              <a16:creationId xmlns:a16="http://schemas.microsoft.com/office/drawing/2014/main" id="{8D29C6EC-C8BC-42D1-A224-2C83544F5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182880</xdr:colOff>
      <xdr:row>15</xdr:row>
      <xdr:rowOff>132080</xdr:rowOff>
    </xdr:from>
    <xdr:to>
      <xdr:col>31</xdr:col>
      <xdr:colOff>314960</xdr:colOff>
      <xdr:row>17</xdr:row>
      <xdr:rowOff>91440</xdr:rowOff>
    </xdr:to>
    <xdr:sp macro="" textlink="">
      <xdr:nvSpPr>
        <xdr:cNvPr id="53" name="TextBox 52">
          <a:extLst>
            <a:ext uri="{FF2B5EF4-FFF2-40B4-BE49-F238E27FC236}">
              <a16:creationId xmlns:a16="http://schemas.microsoft.com/office/drawing/2014/main" id="{BF23F972-5DDF-9DE3-53C8-D705637E12C1}"/>
            </a:ext>
          </a:extLst>
        </xdr:cNvPr>
        <xdr:cNvSpPr txBox="1"/>
      </xdr:nvSpPr>
      <xdr:spPr>
        <a:xfrm>
          <a:off x="14203680" y="2875280"/>
          <a:ext cx="500888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INVESTMENT BY GENDER</a:t>
          </a:r>
        </a:p>
      </xdr:txBody>
    </xdr:sp>
    <xdr:clientData/>
  </xdr:twoCellAnchor>
  <xdr:twoCellAnchor>
    <xdr:from>
      <xdr:col>6</xdr:col>
      <xdr:colOff>334818</xdr:colOff>
      <xdr:row>37</xdr:row>
      <xdr:rowOff>80818</xdr:rowOff>
    </xdr:from>
    <xdr:to>
      <xdr:col>14</xdr:col>
      <xdr:colOff>57728</xdr:colOff>
      <xdr:row>39</xdr:row>
      <xdr:rowOff>161636</xdr:rowOff>
    </xdr:to>
    <xdr:sp macro="" textlink="">
      <xdr:nvSpPr>
        <xdr:cNvPr id="54" name="TextBox 53">
          <a:extLst>
            <a:ext uri="{FF2B5EF4-FFF2-40B4-BE49-F238E27FC236}">
              <a16:creationId xmlns:a16="http://schemas.microsoft.com/office/drawing/2014/main" id="{546CA23F-8802-DAFC-BE98-FEF1F935909E}"/>
            </a:ext>
          </a:extLst>
        </xdr:cNvPr>
        <xdr:cNvSpPr txBox="1"/>
      </xdr:nvSpPr>
      <xdr:spPr>
        <a:xfrm>
          <a:off x="4006273" y="6915727"/>
          <a:ext cx="4618182"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INVESTMENT BY AGE GROUP</a:t>
          </a:r>
        </a:p>
      </xdr:txBody>
    </xdr:sp>
    <xdr:clientData/>
  </xdr:twoCellAnchor>
  <xdr:twoCellAnchor>
    <xdr:from>
      <xdr:col>5</xdr:col>
      <xdr:colOff>254000</xdr:colOff>
      <xdr:row>39</xdr:row>
      <xdr:rowOff>69272</xdr:rowOff>
    </xdr:from>
    <xdr:to>
      <xdr:col>14</xdr:col>
      <xdr:colOff>381000</xdr:colOff>
      <xdr:row>57</xdr:row>
      <xdr:rowOff>103909</xdr:rowOff>
    </xdr:to>
    <xdr:graphicFrame macro="">
      <xdr:nvGraphicFramePr>
        <xdr:cNvPr id="55" name="Chart 54">
          <a:extLst>
            <a:ext uri="{FF2B5EF4-FFF2-40B4-BE49-F238E27FC236}">
              <a16:creationId xmlns:a16="http://schemas.microsoft.com/office/drawing/2014/main" id="{610F3C6F-6E09-4A17-AD5A-603BAC89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125105</xdr:colOff>
      <xdr:row>37</xdr:row>
      <xdr:rowOff>22518</xdr:rowOff>
    </xdr:from>
    <xdr:to>
      <xdr:col>24</xdr:col>
      <xdr:colOff>125106</xdr:colOff>
      <xdr:row>38</xdr:row>
      <xdr:rowOff>170596</xdr:rowOff>
    </xdr:to>
    <xdr:sp macro="" textlink="">
      <xdr:nvSpPr>
        <xdr:cNvPr id="57" name="TextBox 56">
          <a:extLst>
            <a:ext uri="{FF2B5EF4-FFF2-40B4-BE49-F238E27FC236}">
              <a16:creationId xmlns:a16="http://schemas.microsoft.com/office/drawing/2014/main" id="{56D5359E-4600-8060-1BF9-7D039042B9E5}"/>
            </a:ext>
          </a:extLst>
        </xdr:cNvPr>
        <xdr:cNvSpPr txBox="1"/>
      </xdr:nvSpPr>
      <xdr:spPr>
        <a:xfrm rot="10800000" flipV="1">
          <a:off x="10565642" y="6755414"/>
          <a:ext cx="4299046" cy="330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16</xdr:col>
      <xdr:colOff>46277</xdr:colOff>
      <xdr:row>38</xdr:row>
      <xdr:rowOff>154910</xdr:rowOff>
    </xdr:from>
    <xdr:to>
      <xdr:col>22</xdr:col>
      <xdr:colOff>137262</xdr:colOff>
      <xdr:row>40</xdr:row>
      <xdr:rowOff>177656</xdr:rowOff>
    </xdr:to>
    <xdr:sp macro="" textlink="">
      <xdr:nvSpPr>
        <xdr:cNvPr id="58" name="TextBox 57">
          <a:extLst>
            <a:ext uri="{FF2B5EF4-FFF2-40B4-BE49-F238E27FC236}">
              <a16:creationId xmlns:a16="http://schemas.microsoft.com/office/drawing/2014/main" id="{633B4B67-5628-A11D-C011-62A2657FF189}"/>
            </a:ext>
          </a:extLst>
        </xdr:cNvPr>
        <xdr:cNvSpPr txBox="1"/>
      </xdr:nvSpPr>
      <xdr:spPr>
        <a:xfrm>
          <a:off x="9715794" y="7380772"/>
          <a:ext cx="3717054" cy="39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WORKING</a:t>
          </a:r>
          <a:r>
            <a:rPr lang="en-US" sz="2000" b="1" baseline="0"/>
            <a:t> PROFESSIONALS</a:t>
          </a:r>
        </a:p>
        <a:p>
          <a:endParaRPr lang="en-US" sz="1100"/>
        </a:p>
      </xdr:txBody>
    </xdr:sp>
    <xdr:clientData/>
  </xdr:twoCellAnchor>
  <xdr:twoCellAnchor>
    <xdr:from>
      <xdr:col>17</xdr:col>
      <xdr:colOff>304129</xdr:colOff>
      <xdr:row>40</xdr:row>
      <xdr:rowOff>139765</xdr:rowOff>
    </xdr:from>
    <xdr:to>
      <xdr:col>18</xdr:col>
      <xdr:colOff>568006</xdr:colOff>
      <xdr:row>43</xdr:row>
      <xdr:rowOff>26276</xdr:rowOff>
    </xdr:to>
    <xdr:sp macro="" textlink="Sheet4!J2">
      <xdr:nvSpPr>
        <xdr:cNvPr id="61" name="TextBox 60">
          <a:extLst>
            <a:ext uri="{FF2B5EF4-FFF2-40B4-BE49-F238E27FC236}">
              <a16:creationId xmlns:a16="http://schemas.microsoft.com/office/drawing/2014/main" id="{F6FF5498-B7AF-5955-8FAE-17924C69C242}"/>
            </a:ext>
          </a:extLst>
        </xdr:cNvPr>
        <xdr:cNvSpPr txBox="1"/>
      </xdr:nvSpPr>
      <xdr:spPr>
        <a:xfrm>
          <a:off x="10577991" y="7733489"/>
          <a:ext cx="868222" cy="438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A6DABC-9EAB-4233-AFA8-5BA9F8E0F71F}" type="TxLink">
            <a:rPr lang="en-US" sz="2800" b="0" i="0" u="none" strike="noStrike">
              <a:solidFill>
                <a:srgbClr val="000000"/>
              </a:solidFill>
              <a:latin typeface="Aptos Narrow"/>
            </a:rPr>
            <a:pPr/>
            <a:t>41</a:t>
          </a:fld>
          <a:endParaRPr lang="en-IN" sz="11500"/>
        </a:p>
      </xdr:txBody>
    </xdr:sp>
    <xdr:clientData/>
  </xdr:twoCellAnchor>
  <xdr:twoCellAnchor>
    <xdr:from>
      <xdr:col>16</xdr:col>
      <xdr:colOff>58574</xdr:colOff>
      <xdr:row>43</xdr:row>
      <xdr:rowOff>98115</xdr:rowOff>
    </xdr:from>
    <xdr:to>
      <xdr:col>21</xdr:col>
      <xdr:colOff>551874</xdr:colOff>
      <xdr:row>45</xdr:row>
      <xdr:rowOff>128320</xdr:rowOff>
    </xdr:to>
    <xdr:sp macro="" textlink="">
      <xdr:nvSpPr>
        <xdr:cNvPr id="13" name="TextBox 12">
          <a:extLst>
            <a:ext uri="{FF2B5EF4-FFF2-40B4-BE49-F238E27FC236}">
              <a16:creationId xmlns:a16="http://schemas.microsoft.com/office/drawing/2014/main" id="{314435D7-463F-CBFD-3446-0B23E6C0733E}"/>
            </a:ext>
          </a:extLst>
        </xdr:cNvPr>
        <xdr:cNvSpPr txBox="1"/>
      </xdr:nvSpPr>
      <xdr:spPr>
        <a:xfrm>
          <a:off x="9728091" y="8243632"/>
          <a:ext cx="3515024" cy="398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a:t>
          </a:r>
          <a:r>
            <a:rPr lang="en-IN" sz="2000" b="1" baseline="0"/>
            <a:t> OF ANNUAL INCOME</a:t>
          </a:r>
          <a:endParaRPr lang="en-IN" sz="2000" b="1"/>
        </a:p>
      </xdr:txBody>
    </xdr:sp>
    <xdr:clientData/>
  </xdr:twoCellAnchor>
  <xdr:twoCellAnchor>
    <xdr:from>
      <xdr:col>16</xdr:col>
      <xdr:colOff>474842</xdr:colOff>
      <xdr:row>45</xdr:row>
      <xdr:rowOff>121993</xdr:rowOff>
    </xdr:from>
    <xdr:to>
      <xdr:col>20</xdr:col>
      <xdr:colOff>499241</xdr:colOff>
      <xdr:row>48</xdr:row>
      <xdr:rowOff>183930</xdr:rowOff>
    </xdr:to>
    <xdr:sp macro="" textlink="Sheet4!K2">
      <xdr:nvSpPr>
        <xdr:cNvPr id="19" name="TextBox 18">
          <a:extLst>
            <a:ext uri="{FF2B5EF4-FFF2-40B4-BE49-F238E27FC236}">
              <a16:creationId xmlns:a16="http://schemas.microsoft.com/office/drawing/2014/main" id="{0237A798-F9B7-A601-C4C9-ACBFC7A057F4}"/>
            </a:ext>
          </a:extLst>
        </xdr:cNvPr>
        <xdr:cNvSpPr txBox="1"/>
      </xdr:nvSpPr>
      <xdr:spPr>
        <a:xfrm>
          <a:off x="10144359" y="8635372"/>
          <a:ext cx="2441779" cy="61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4041D1-3235-4E88-8021-FAF52BB2D49D}" type="TxLink">
            <a:rPr lang="en-US" sz="2800" b="0" i="0" u="none" strike="noStrike">
              <a:solidFill>
                <a:srgbClr val="000000"/>
              </a:solidFill>
              <a:latin typeface="Aptos Narrow"/>
            </a:rPr>
            <a:pPr/>
            <a:t> $8,782.44 </a:t>
          </a:fld>
          <a:endParaRPr lang="en-IN" sz="2800"/>
        </a:p>
      </xdr:txBody>
    </xdr:sp>
    <xdr:clientData/>
  </xdr:twoCellAnchor>
  <xdr:twoCellAnchor>
    <xdr:from>
      <xdr:col>16</xdr:col>
      <xdr:colOff>52550</xdr:colOff>
      <xdr:row>48</xdr:row>
      <xdr:rowOff>183929</xdr:rowOff>
    </xdr:from>
    <xdr:to>
      <xdr:col>22</xdr:col>
      <xdr:colOff>380998</xdr:colOff>
      <xdr:row>51</xdr:row>
      <xdr:rowOff>157654</xdr:rowOff>
    </xdr:to>
    <xdr:sp macro="" textlink="">
      <xdr:nvSpPr>
        <xdr:cNvPr id="24" name="TextBox 23">
          <a:extLst>
            <a:ext uri="{FF2B5EF4-FFF2-40B4-BE49-F238E27FC236}">
              <a16:creationId xmlns:a16="http://schemas.microsoft.com/office/drawing/2014/main" id="{759999C5-BAA3-1458-75DE-BC8C6AE66A3E}"/>
            </a:ext>
          </a:extLst>
        </xdr:cNvPr>
        <xdr:cNvSpPr txBox="1"/>
      </xdr:nvSpPr>
      <xdr:spPr>
        <a:xfrm>
          <a:off x="9722067" y="9249101"/>
          <a:ext cx="3954517" cy="52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 </a:t>
          </a:r>
          <a:r>
            <a:rPr lang="en-IN" sz="2000" b="1" baseline="0"/>
            <a:t> INVESTMENT MONTHLY </a:t>
          </a:r>
          <a:endParaRPr lang="en-IN" sz="2000" b="1"/>
        </a:p>
      </xdr:txBody>
    </xdr:sp>
    <xdr:clientData/>
  </xdr:twoCellAnchor>
  <xdr:twoCellAnchor>
    <xdr:from>
      <xdr:col>16</xdr:col>
      <xdr:colOff>578068</xdr:colOff>
      <xdr:row>51</xdr:row>
      <xdr:rowOff>65688</xdr:rowOff>
    </xdr:from>
    <xdr:to>
      <xdr:col>20</xdr:col>
      <xdr:colOff>65689</xdr:colOff>
      <xdr:row>54</xdr:row>
      <xdr:rowOff>52551</xdr:rowOff>
    </xdr:to>
    <xdr:sp macro="" textlink="Sheet4!L2">
      <xdr:nvSpPr>
        <xdr:cNvPr id="26" name="TextBox 25">
          <a:extLst>
            <a:ext uri="{FF2B5EF4-FFF2-40B4-BE49-F238E27FC236}">
              <a16:creationId xmlns:a16="http://schemas.microsoft.com/office/drawing/2014/main" id="{6BBBFFA8-69B7-5208-8A5F-2A12F46B15C1}"/>
            </a:ext>
          </a:extLst>
        </xdr:cNvPr>
        <xdr:cNvSpPr txBox="1"/>
      </xdr:nvSpPr>
      <xdr:spPr>
        <a:xfrm>
          <a:off x="10247585" y="9682654"/>
          <a:ext cx="1905001" cy="53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99BA5-E80B-4415-B312-930257FD7056}" type="TxLink">
            <a:rPr lang="en-US" sz="2800" b="0" i="0" u="none" strike="noStrike">
              <a:solidFill>
                <a:srgbClr val="000000"/>
              </a:solidFill>
              <a:latin typeface="Aptos Narrow"/>
            </a:rPr>
            <a:pPr/>
            <a:t> $3,239.47 </a:t>
          </a:fld>
          <a:endParaRPr lang="en-IN" sz="2800"/>
        </a:p>
      </xdr:txBody>
    </xdr:sp>
    <xdr:clientData/>
  </xdr:twoCellAnchor>
  <xdr:twoCellAnchor editAs="oneCell">
    <xdr:from>
      <xdr:col>0</xdr:col>
      <xdr:colOff>433481</xdr:colOff>
      <xdr:row>20</xdr:row>
      <xdr:rowOff>9920</xdr:rowOff>
    </xdr:from>
    <xdr:to>
      <xdr:col>3</xdr:col>
      <xdr:colOff>668694</xdr:colOff>
      <xdr:row>34</xdr:row>
      <xdr:rowOff>16160</xdr:rowOff>
    </xdr:to>
    <mc:AlternateContent xmlns:mc="http://schemas.openxmlformats.org/markup-compatibility/2006" xmlns:a14="http://schemas.microsoft.com/office/drawing/2010/main">
      <mc:Choice Requires="a14">
        <xdr:graphicFrame macro="">
          <xdr:nvGraphicFramePr>
            <xdr:cNvPr id="28" name="Working_professional 1">
              <a:extLst>
                <a:ext uri="{FF2B5EF4-FFF2-40B4-BE49-F238E27FC236}">
                  <a16:creationId xmlns:a16="http://schemas.microsoft.com/office/drawing/2014/main" id="{BFD0F957-4B33-4E8E-A4E6-44F45D68F2F8}"/>
                </a:ext>
              </a:extLst>
            </xdr:cNvPr>
            <xdr:cNvGraphicFramePr/>
          </xdr:nvGraphicFramePr>
          <xdr:xfrm>
            <a:off x="0" y="0"/>
            <a:ext cx="0" cy="0"/>
          </xdr:xfrm>
          <a:graphic>
            <a:graphicData uri="http://schemas.microsoft.com/office/drawing/2010/slicer">
              <sle:slicer xmlns:sle="http://schemas.microsoft.com/office/drawing/2010/slicer" name="Working_professional 1"/>
            </a:graphicData>
          </a:graphic>
        </xdr:graphicFrame>
      </mc:Choice>
      <mc:Fallback xmlns="">
        <xdr:sp macro="" textlink="">
          <xdr:nvSpPr>
            <xdr:cNvPr id="0" name=""/>
            <xdr:cNvSpPr>
              <a:spLocks noTextEdit="1"/>
            </xdr:cNvSpPr>
          </xdr:nvSpPr>
          <xdr:spPr>
            <a:xfrm>
              <a:off x="433481" y="4185680"/>
              <a:ext cx="1837101" cy="2779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420342</xdr:colOff>
      <xdr:row>6</xdr:row>
      <xdr:rowOff>174814</xdr:rowOff>
    </xdr:from>
    <xdr:to>
      <xdr:col>3</xdr:col>
      <xdr:colOff>684245</xdr:colOff>
      <xdr:row>19</xdr:row>
      <xdr:rowOff>123140</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98634C97-0D64-4025-B333-4FFDBC3A0F7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20342" y="1294487"/>
              <a:ext cx="2456597" cy="25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452088</xdr:colOff>
      <xdr:row>34</xdr:row>
      <xdr:rowOff>114754</xdr:rowOff>
    </xdr:from>
    <xdr:to>
      <xdr:col>3</xdr:col>
      <xdr:colOff>715347</xdr:colOff>
      <xdr:row>53</xdr:row>
      <xdr:rowOff>155509</xdr:rowOff>
    </xdr:to>
    <mc:AlternateContent xmlns:mc="http://schemas.openxmlformats.org/markup-compatibility/2006" xmlns:a14="http://schemas.microsoft.com/office/drawing/2010/main">
      <mc:Choice Requires="a14">
        <xdr:graphicFrame macro="">
          <xdr:nvGraphicFramePr>
            <xdr:cNvPr id="36" name="Age 1">
              <a:extLst>
                <a:ext uri="{FF2B5EF4-FFF2-40B4-BE49-F238E27FC236}">
                  <a16:creationId xmlns:a16="http://schemas.microsoft.com/office/drawing/2014/main" id="{D9400D0C-2635-4857-9C4A-997083795ED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52088" y="7064195"/>
              <a:ext cx="1837101" cy="2791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40531</xdr:colOff>
      <xdr:row>37</xdr:row>
      <xdr:rowOff>8107</xdr:rowOff>
    </xdr:from>
    <xdr:to>
      <xdr:col>36</xdr:col>
      <xdr:colOff>575553</xdr:colOff>
      <xdr:row>39</xdr:row>
      <xdr:rowOff>56744</xdr:rowOff>
    </xdr:to>
    <xdr:sp macro="" textlink="">
      <xdr:nvSpPr>
        <xdr:cNvPr id="37" name="TextBox 36">
          <a:extLst>
            <a:ext uri="{FF2B5EF4-FFF2-40B4-BE49-F238E27FC236}">
              <a16:creationId xmlns:a16="http://schemas.microsoft.com/office/drawing/2014/main" id="{942EBFEA-8037-4162-A508-FB2C8EB0FC63}"/>
            </a:ext>
          </a:extLst>
        </xdr:cNvPr>
        <xdr:cNvSpPr txBox="1"/>
      </xdr:nvSpPr>
      <xdr:spPr>
        <a:xfrm>
          <a:off x="16455957" y="7149830"/>
          <a:ext cx="6006830" cy="42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a:t>
          </a:r>
          <a:r>
            <a:rPr lang="en-IN" sz="2000" b="1" baseline="0"/>
            <a:t> DURATION BY MODE OF INVESTMENT(YEARS)</a:t>
          </a:r>
          <a:endParaRPr lang="en-IN" sz="2000" b="1"/>
        </a:p>
      </xdr:txBody>
    </xdr:sp>
    <xdr:clientData/>
  </xdr:twoCellAnchor>
  <xdr:twoCellAnchor>
    <xdr:from>
      <xdr:col>28</xdr:col>
      <xdr:colOff>261239</xdr:colOff>
      <xdr:row>39</xdr:row>
      <xdr:rowOff>128124</xdr:rowOff>
    </xdr:from>
    <xdr:to>
      <xdr:col>35</xdr:col>
      <xdr:colOff>539548</xdr:colOff>
      <xdr:row>54</xdr:row>
      <xdr:rowOff>136998</xdr:rowOff>
    </xdr:to>
    <xdr:graphicFrame macro="">
      <xdr:nvGraphicFramePr>
        <xdr:cNvPr id="42" name="Chart 41">
          <a:extLst>
            <a:ext uri="{FF2B5EF4-FFF2-40B4-BE49-F238E27FC236}">
              <a16:creationId xmlns:a16="http://schemas.microsoft.com/office/drawing/2014/main" id="{61147898-54A8-4B0E-9E33-27A0A0E79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hnesh" refreshedDate="45970.011665509257" createdVersion="8" refreshedVersion="8" minRefreshableVersion="3" recordCount="100" xr:uid="{55467BF7-CAA5-45FE-95B3-9E1982CF52F2}">
  <cacheSource type="worksheet">
    <worksheetSource ref="A1:K101" sheet="investment_survey"/>
  </cacheSource>
  <cacheFields count="11">
    <cacheField name="Gender" numFmtId="0">
      <sharedItems count="2">
        <s v="Male"/>
        <s v="Female"/>
      </sharedItems>
    </cacheField>
    <cacheField name="Age" numFmtId="0">
      <sharedItems containsSemiMixedTypes="0" containsString="0" containsNumber="1" containsInteger="1" minValue="18" maxValue="56" count="21">
        <n v="19"/>
        <n v="24"/>
        <n v="22"/>
        <n v="25"/>
        <n v="27"/>
        <n v="28"/>
        <n v="35"/>
        <n v="56"/>
        <n v="23"/>
        <n v="31"/>
        <n v="26"/>
        <n v="20"/>
        <n v="18"/>
        <n v="48"/>
        <n v="21"/>
        <n v="30"/>
        <n v="45"/>
        <n v="29"/>
        <n v="36"/>
        <n v="37"/>
        <n v="32"/>
      </sharedItems>
    </cacheField>
    <cacheField name="Working_professional" numFmtId="0">
      <sharedItems containsSemiMixedTypes="0" containsString="0" containsNumber="1" containsInteger="1" minValue="0" maxValue="1" count="2">
        <n v="0"/>
        <n v="1"/>
      </sharedItems>
    </cacheField>
    <cacheField name="Annual_income" numFmtId="0">
      <sharedItems containsSemiMixedTypes="0" containsString="0" containsNumber="1" containsInteger="1" minValue="0" maxValue="600000"/>
    </cacheField>
    <cacheField name="Mode_of_investment" numFmtId="0">
      <sharedItems count="9">
        <s v="Banking - RD, FD"/>
        <s v="Stocks - Intraday, long term"/>
        <s v="Mutual Funds"/>
        <s v="Crypto currency"/>
        <s v="Not prepared "/>
        <s v="Gold / Any other Materialistic investment"/>
        <s v="Marketing "/>
        <s v="Real estate, Bonds"/>
        <s v="Chit fund"/>
      </sharedItems>
    </cacheField>
    <cacheField name="Investment_per_month" numFmtId="0">
      <sharedItems containsMixedTypes="1" containsNumber="1" containsInteger="1" minValue="10" maxValue="30000"/>
    </cacheField>
    <cacheField name="Motivation_cause" numFmtId="0">
      <sharedItems/>
    </cacheField>
    <cacheField name="Resources_used" numFmtId="0">
      <sharedItems/>
    </cacheField>
    <cacheField name="Goal_for_investment" numFmtId="0">
      <sharedItems/>
    </cacheField>
    <cacheField name="Duration_to_save(in_Years) " numFmtId="0">
      <sharedItems containsMixedTypes="1" containsNumber="1" containsInteger="1" minValue="1" maxValue="25" count="15">
        <n v="10"/>
        <n v="3"/>
        <n v="15"/>
        <n v="5"/>
        <n v="4"/>
        <n v="8"/>
        <s v="Nil"/>
        <n v="1"/>
        <n v="2"/>
        <n v="25"/>
        <n v="6"/>
        <n v="20"/>
        <n v="7"/>
        <n v="21"/>
        <n v="9"/>
      </sharedItems>
    </cacheField>
    <cacheField name="Age group" numFmtId="0">
      <sharedItems count="2">
        <s v="below 25"/>
        <s v="above 25"/>
      </sharedItems>
    </cacheField>
  </cacheFields>
  <extLst>
    <ext xmlns:x14="http://schemas.microsoft.com/office/spreadsheetml/2009/9/main" uri="{725AE2AE-9491-48be-B2B4-4EB974FC3084}">
      <x14:pivotCacheDefinition pivotCacheId="680051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0"/>
    <x v="0"/>
    <n v="200"/>
    <s v="Family member"/>
    <s v="Family members/Friends"/>
    <s v="Wealth generation"/>
    <x v="0"/>
    <x v="0"/>
  </r>
  <r>
    <x v="1"/>
    <x v="1"/>
    <x v="0"/>
    <n v="0"/>
    <x v="0"/>
    <n v="1000"/>
    <s v="Social media/ Articles"/>
    <s v="Mobile applications"/>
    <s v="Wealth generation"/>
    <x v="1"/>
    <x v="0"/>
  </r>
  <r>
    <x v="0"/>
    <x v="1"/>
    <x v="1"/>
    <n v="400000"/>
    <x v="1"/>
    <n v="5000"/>
    <s v="Social media/ Articles"/>
    <s v="News articles / Current affairs"/>
    <s v="Planning for finacial freedom after Retirement"/>
    <x v="0"/>
    <x v="0"/>
  </r>
  <r>
    <x v="0"/>
    <x v="2"/>
    <x v="1"/>
    <n v="150000"/>
    <x v="2"/>
    <n v="2000"/>
    <s v="Agents/Investment brokers"/>
    <s v="News articles / Current affairs"/>
    <s v="Wealth generation"/>
    <x v="0"/>
    <x v="0"/>
  </r>
  <r>
    <x v="0"/>
    <x v="3"/>
    <x v="1"/>
    <n v="250000"/>
    <x v="2"/>
    <n v="2000"/>
    <s v="Self Interest "/>
    <s v="Books"/>
    <s v="Wealth generation"/>
    <x v="2"/>
    <x v="1"/>
  </r>
  <r>
    <x v="0"/>
    <x v="4"/>
    <x v="1"/>
    <n v="384000"/>
    <x v="3"/>
    <n v="3000"/>
    <s v="Social media/ Articles"/>
    <s v="Social media/ Articles"/>
    <s v="Wealth generation"/>
    <x v="3"/>
    <x v="1"/>
  </r>
  <r>
    <x v="0"/>
    <x v="1"/>
    <x v="1"/>
    <n v="150000"/>
    <x v="4"/>
    <n v="2000"/>
    <s v="No one"/>
    <s v="Family members/Friends"/>
    <s v="Planning for finacial freedom after Retirement"/>
    <x v="2"/>
    <x v="0"/>
  </r>
  <r>
    <x v="1"/>
    <x v="2"/>
    <x v="0"/>
    <n v="0"/>
    <x v="5"/>
    <n v="500"/>
    <s v="Family member"/>
    <s v="Family members/Friends"/>
    <s v="Personal Savings"/>
    <x v="0"/>
    <x v="0"/>
  </r>
  <r>
    <x v="1"/>
    <x v="3"/>
    <x v="0"/>
    <n v="0"/>
    <x v="0"/>
    <n v="2000"/>
    <s v="Family member"/>
    <s v="Family members/Friends"/>
    <s v="Personal Savings"/>
    <x v="3"/>
    <x v="1"/>
  </r>
  <r>
    <x v="0"/>
    <x v="5"/>
    <x v="1"/>
    <n v="500000"/>
    <x v="1"/>
    <n v="5000"/>
    <s v="Friends"/>
    <s v="Mobile applications"/>
    <s v="Wealth generation"/>
    <x v="0"/>
    <x v="1"/>
  </r>
  <r>
    <x v="1"/>
    <x v="6"/>
    <x v="0"/>
    <n v="0"/>
    <x v="0"/>
    <n v="2000"/>
    <s v="Family member"/>
    <s v="Family members/Friends"/>
    <s v="Children's education/ Marriage"/>
    <x v="0"/>
    <x v="1"/>
  </r>
  <r>
    <x v="1"/>
    <x v="5"/>
    <x v="1"/>
    <n v="300000"/>
    <x v="5"/>
    <n v="5000"/>
    <s v="Self"/>
    <s v="Family members/Friends"/>
    <s v="Regarding your / Your Siblings marriage"/>
    <x v="1"/>
    <x v="1"/>
  </r>
  <r>
    <x v="0"/>
    <x v="7"/>
    <x v="1"/>
    <n v="200000"/>
    <x v="2"/>
    <n v="1000"/>
    <s v="Through Bank"/>
    <s v="News articles / Current affairs"/>
    <s v="Planning for finacial freedom after Retirement"/>
    <x v="4"/>
    <x v="1"/>
  </r>
  <r>
    <x v="0"/>
    <x v="8"/>
    <x v="0"/>
    <n v="0"/>
    <x v="1"/>
    <n v="500"/>
    <s v="Friends"/>
    <s v="Mobile applications"/>
    <s v="Construction of own House / Buying a new Car"/>
    <x v="2"/>
    <x v="0"/>
  </r>
  <r>
    <x v="1"/>
    <x v="0"/>
    <x v="0"/>
    <n v="0"/>
    <x v="0"/>
    <n v="1000"/>
    <s v="Through Bank"/>
    <s v="Books"/>
    <s v="Personal Savings"/>
    <x v="0"/>
    <x v="0"/>
  </r>
  <r>
    <x v="0"/>
    <x v="9"/>
    <x v="1"/>
    <n v="200000"/>
    <x v="1"/>
    <n v="1000"/>
    <s v="Social media/ Articles"/>
    <s v="Mobile applications"/>
    <s v="Personal Savings"/>
    <x v="3"/>
    <x v="1"/>
  </r>
  <r>
    <x v="0"/>
    <x v="10"/>
    <x v="0"/>
    <n v="0"/>
    <x v="0"/>
    <n v="500"/>
    <s v="Self"/>
    <s v="News articles / Current affairs"/>
    <s v="Wealth generation"/>
    <x v="4"/>
    <x v="1"/>
  </r>
  <r>
    <x v="0"/>
    <x v="5"/>
    <x v="1"/>
    <n v="300000"/>
    <x v="2"/>
    <n v="2500"/>
    <s v="Through Bank"/>
    <s v="Family members/Friends"/>
    <s v="Wealth generation"/>
    <x v="5"/>
    <x v="1"/>
  </r>
  <r>
    <x v="1"/>
    <x v="10"/>
    <x v="1"/>
    <n v="150000"/>
    <x v="0"/>
    <n v="1500"/>
    <s v="Family member"/>
    <s v="Family members/Friends"/>
    <s v="Regarding your / Your Siblings marriage"/>
    <x v="1"/>
    <x v="1"/>
  </r>
  <r>
    <x v="0"/>
    <x v="8"/>
    <x v="0"/>
    <n v="0"/>
    <x v="0"/>
    <s v="Nil"/>
    <s v="Through Bank"/>
    <s v="Books"/>
    <s v="Children's education/ Marriage"/>
    <x v="6"/>
    <x v="0"/>
  </r>
  <r>
    <x v="0"/>
    <x v="11"/>
    <x v="0"/>
    <n v="0"/>
    <x v="0"/>
    <n v="5000"/>
    <s v="Through Bank"/>
    <s v="Books"/>
    <s v="Personal Savings"/>
    <x v="7"/>
    <x v="0"/>
  </r>
  <r>
    <x v="0"/>
    <x v="12"/>
    <x v="0"/>
    <n v="360000"/>
    <x v="3"/>
    <n v="30000"/>
    <s v="Friends"/>
    <s v="Family members/Friends"/>
    <s v="Children's education/ Marriage"/>
    <x v="8"/>
    <x v="0"/>
  </r>
  <r>
    <x v="0"/>
    <x v="8"/>
    <x v="1"/>
    <n v="0"/>
    <x v="1"/>
    <n v="10"/>
    <s v="Social media/ Articles"/>
    <s v="Books"/>
    <s v="Children's education/ Marriage"/>
    <x v="0"/>
    <x v="0"/>
  </r>
  <r>
    <x v="0"/>
    <x v="2"/>
    <x v="0"/>
    <n v="0"/>
    <x v="1"/>
    <n v="100"/>
    <s v="Friends"/>
    <s v="Mobile applications"/>
    <s v="Construction of own House / Buying a new Car"/>
    <x v="0"/>
    <x v="0"/>
  </r>
  <r>
    <x v="0"/>
    <x v="12"/>
    <x v="0"/>
    <n v="0"/>
    <x v="0"/>
    <n v="5000"/>
    <s v="Through Bank"/>
    <s v="Family members/Friends"/>
    <s v="Planning for finacial freedom after Retirement"/>
    <x v="9"/>
    <x v="0"/>
  </r>
  <r>
    <x v="0"/>
    <x v="11"/>
    <x v="0"/>
    <n v="0"/>
    <x v="1"/>
    <s v="Nil"/>
    <s v="Family member"/>
    <s v="Family members/Friends"/>
    <s v="Personal Savings"/>
    <x v="8"/>
    <x v="0"/>
  </r>
  <r>
    <x v="0"/>
    <x v="5"/>
    <x v="1"/>
    <n v="250000"/>
    <x v="1"/>
    <n v="1500"/>
    <s v="Friends"/>
    <s v="Mobile applications"/>
    <s v="Wealth generation"/>
    <x v="4"/>
    <x v="1"/>
  </r>
  <r>
    <x v="0"/>
    <x v="8"/>
    <x v="0"/>
    <n v="0"/>
    <x v="1"/>
    <n v="10000"/>
    <s v="Friends"/>
    <s v="News articles / Current affairs"/>
    <s v="Wealth generation"/>
    <x v="3"/>
    <x v="0"/>
  </r>
  <r>
    <x v="1"/>
    <x v="5"/>
    <x v="1"/>
    <n v="120000"/>
    <x v="2"/>
    <n v="1000"/>
    <s v="Agents/Investment brokers"/>
    <s v="Family members/Friends"/>
    <s v="Children's education/ Marriage"/>
    <x v="3"/>
    <x v="1"/>
  </r>
  <r>
    <x v="0"/>
    <x v="13"/>
    <x v="0"/>
    <n v="0"/>
    <x v="0"/>
    <n v="1000"/>
    <s v="Friends"/>
    <s v="Family members/Friends"/>
    <s v="Personal Savings"/>
    <x v="3"/>
    <x v="1"/>
  </r>
  <r>
    <x v="0"/>
    <x v="8"/>
    <x v="0"/>
    <n v="0"/>
    <x v="1"/>
    <n v="20000"/>
    <s v="Friends"/>
    <s v="Family members/Friends"/>
    <s v="Personal Savings"/>
    <x v="8"/>
    <x v="0"/>
  </r>
  <r>
    <x v="1"/>
    <x v="8"/>
    <x v="0"/>
    <n v="0"/>
    <x v="6"/>
    <n v="5000"/>
    <s v="Friends"/>
    <s v="Family members/Friends"/>
    <s v="Planning for finacial freedom after Retirement"/>
    <x v="8"/>
    <x v="0"/>
  </r>
  <r>
    <x v="1"/>
    <x v="8"/>
    <x v="1"/>
    <n v="150000"/>
    <x v="5"/>
    <n v="2000"/>
    <s v="Family member"/>
    <s v="Family members/Friends"/>
    <s v="Regarding your / Your Siblings marriage"/>
    <x v="4"/>
    <x v="0"/>
  </r>
  <r>
    <x v="1"/>
    <x v="10"/>
    <x v="1"/>
    <n v="300000"/>
    <x v="2"/>
    <n v="2000"/>
    <s v="Agents/Investment brokers"/>
    <s v="Mobile applications"/>
    <s v="Wealth generation"/>
    <x v="0"/>
    <x v="1"/>
  </r>
  <r>
    <x v="1"/>
    <x v="1"/>
    <x v="1"/>
    <n v="200000"/>
    <x v="7"/>
    <n v="3000"/>
    <s v="Family member"/>
    <s v="Family members/Friends"/>
    <s v="Construction of own House / Buying a new Car"/>
    <x v="0"/>
    <x v="0"/>
  </r>
  <r>
    <x v="0"/>
    <x v="11"/>
    <x v="0"/>
    <n v="0"/>
    <x v="0"/>
    <n v="2000"/>
    <s v="Family member"/>
    <s v="Family members/Friends"/>
    <s v="Personal Savings"/>
    <x v="10"/>
    <x v="0"/>
  </r>
  <r>
    <x v="0"/>
    <x v="0"/>
    <x v="0"/>
    <n v="0"/>
    <x v="1"/>
    <n v="5000"/>
    <s v="Social media/ Articles"/>
    <s v="Mobile applications"/>
    <s v="Personal Savings"/>
    <x v="3"/>
    <x v="0"/>
  </r>
  <r>
    <x v="0"/>
    <x v="11"/>
    <x v="0"/>
    <n v="80"/>
    <x v="1"/>
    <n v="1000"/>
    <s v="Friends"/>
    <s v="Family members/Friends"/>
    <s v="Personal Savings"/>
    <x v="3"/>
    <x v="0"/>
  </r>
  <r>
    <x v="0"/>
    <x v="2"/>
    <x v="0"/>
    <n v="0"/>
    <x v="5"/>
    <n v="2000"/>
    <s v="Friends"/>
    <s v="Family members/Friends"/>
    <s v="All the above "/>
    <x v="1"/>
    <x v="0"/>
  </r>
  <r>
    <x v="0"/>
    <x v="14"/>
    <x v="1"/>
    <n v="120000"/>
    <x v="2"/>
    <n v="3000"/>
    <s v="Agents/Investment brokers"/>
    <s v="Family members/Friends"/>
    <s v="Construction of own House / Buying a new Car"/>
    <x v="0"/>
    <x v="0"/>
  </r>
  <r>
    <x v="1"/>
    <x v="15"/>
    <x v="1"/>
    <n v="180000"/>
    <x v="2"/>
    <n v="3000"/>
    <s v="Family member"/>
    <s v="Family members/Friends"/>
    <s v="Personal Savings"/>
    <x v="0"/>
    <x v="1"/>
  </r>
  <r>
    <x v="1"/>
    <x v="16"/>
    <x v="1"/>
    <n v="200000"/>
    <x v="2"/>
    <n v="2000"/>
    <s v="Self"/>
    <s v="Books"/>
    <s v="Wealth generation"/>
    <x v="11"/>
    <x v="1"/>
  </r>
  <r>
    <x v="0"/>
    <x v="14"/>
    <x v="0"/>
    <n v="0"/>
    <x v="2"/>
    <n v="10000"/>
    <s v="Family member"/>
    <s v="Mobile applications"/>
    <s v="Personal Savings"/>
    <x v="0"/>
    <x v="0"/>
  </r>
  <r>
    <x v="0"/>
    <x v="14"/>
    <x v="0"/>
    <n v="0"/>
    <x v="1"/>
    <n v="1000"/>
    <s v="Friends"/>
    <s v="Family members/Friends"/>
    <s v="Planning for finacial freedom after Retirement"/>
    <x v="7"/>
    <x v="0"/>
  </r>
  <r>
    <x v="1"/>
    <x v="2"/>
    <x v="0"/>
    <n v="0"/>
    <x v="0"/>
    <n v="2000"/>
    <s v="Family member"/>
    <s v="Family members/Friends"/>
    <s v="Personal Savings"/>
    <x v="0"/>
    <x v="0"/>
  </r>
  <r>
    <x v="0"/>
    <x v="1"/>
    <x v="1"/>
    <n v="200000"/>
    <x v="1"/>
    <n v="1000"/>
    <s v="Friends"/>
    <s v="Mobile applications"/>
    <s v="Personal Savings"/>
    <x v="0"/>
    <x v="0"/>
  </r>
  <r>
    <x v="1"/>
    <x v="2"/>
    <x v="0"/>
    <n v="0"/>
    <x v="0"/>
    <n v="500"/>
    <s v="Family member"/>
    <s v="Family members/Friends"/>
    <s v="Personal Savings"/>
    <x v="10"/>
    <x v="0"/>
  </r>
  <r>
    <x v="0"/>
    <x v="1"/>
    <x v="0"/>
    <n v="0"/>
    <x v="1"/>
    <n v="1000"/>
    <s v="Social media/ Articles"/>
    <s v="Books"/>
    <s v="Wealth generation"/>
    <x v="12"/>
    <x v="0"/>
  </r>
  <r>
    <x v="1"/>
    <x v="17"/>
    <x v="1"/>
    <n v="280000"/>
    <x v="5"/>
    <n v="4000"/>
    <s v="Family member"/>
    <s v="Family members/Friends"/>
    <s v="Personal Savings"/>
    <x v="4"/>
    <x v="1"/>
  </r>
  <r>
    <x v="0"/>
    <x v="10"/>
    <x v="1"/>
    <n v="350000"/>
    <x v="2"/>
    <n v="3000"/>
    <s v="Self motivation "/>
    <s v="News articles / Current affairs"/>
    <s v="Tax saving"/>
    <x v="0"/>
    <x v="1"/>
  </r>
  <r>
    <x v="0"/>
    <x v="2"/>
    <x v="0"/>
    <n v="0"/>
    <x v="1"/>
    <n v="2000"/>
    <s v="Friends"/>
    <s v="Mobile applications"/>
    <s v="Personal Savings"/>
    <x v="10"/>
    <x v="0"/>
  </r>
  <r>
    <x v="1"/>
    <x v="4"/>
    <x v="1"/>
    <n v="400000"/>
    <x v="2"/>
    <n v="5000"/>
    <s v="Social media/ Articles"/>
    <s v="Mobile applications"/>
    <s v="Tax saving"/>
    <x v="5"/>
    <x v="1"/>
  </r>
  <r>
    <x v="0"/>
    <x v="1"/>
    <x v="1"/>
    <n v="250000"/>
    <x v="1"/>
    <n v="2000"/>
    <s v="Friends"/>
    <s v="Family members/Friends"/>
    <s v="Regarding your / Your Siblings marriage"/>
    <x v="10"/>
    <x v="0"/>
  </r>
  <r>
    <x v="0"/>
    <x v="3"/>
    <x v="1"/>
    <n v="400000"/>
    <x v="2"/>
    <n v="2500"/>
    <s v="Through Bank"/>
    <s v="Family members/Friends"/>
    <s v="Construction of own House / Buying a new Car"/>
    <x v="0"/>
    <x v="1"/>
  </r>
  <r>
    <x v="1"/>
    <x v="2"/>
    <x v="0"/>
    <n v="0"/>
    <x v="1"/>
    <n v="500"/>
    <s v="Friends"/>
    <s v="Books"/>
    <s v="Regarding your / Your Siblings marriage"/>
    <x v="3"/>
    <x v="0"/>
  </r>
  <r>
    <x v="0"/>
    <x v="10"/>
    <x v="1"/>
    <n v="400000"/>
    <x v="7"/>
    <n v="4500"/>
    <s v="Self "/>
    <s v="Family members/Friends"/>
    <s v="Wealth generation"/>
    <x v="0"/>
    <x v="1"/>
  </r>
  <r>
    <x v="0"/>
    <x v="14"/>
    <x v="0"/>
    <n v="0"/>
    <x v="3"/>
    <s v="Nil"/>
    <s v="Social media/ Articles"/>
    <s v="Mobile applications"/>
    <s v="Construction of own House / Buying a new Car"/>
    <x v="2"/>
    <x v="0"/>
  </r>
  <r>
    <x v="0"/>
    <x v="5"/>
    <x v="1"/>
    <n v="350000"/>
    <x v="2"/>
    <n v="5000"/>
    <s v="Through Bank"/>
    <s v="Family members/Friends"/>
    <s v="Children's education/ Marriage"/>
    <x v="2"/>
    <x v="1"/>
  </r>
  <r>
    <x v="1"/>
    <x v="1"/>
    <x v="1"/>
    <n v="200000"/>
    <x v="1"/>
    <n v="1000"/>
    <s v="Friends"/>
    <s v="Mobile applications"/>
    <s v="Planning for finacial freedom after Retirement"/>
    <x v="2"/>
    <x v="0"/>
  </r>
  <r>
    <x v="0"/>
    <x v="3"/>
    <x v="1"/>
    <n v="350000"/>
    <x v="5"/>
    <n v="2500"/>
    <s v="Family member"/>
    <s v="Family members/Friends"/>
    <s v="Tax saving"/>
    <x v="4"/>
    <x v="1"/>
  </r>
  <r>
    <x v="0"/>
    <x v="10"/>
    <x v="1"/>
    <n v="400000"/>
    <x v="2"/>
    <n v="2500"/>
    <s v="Agents/Investment brokers"/>
    <s v="News articles / Current affairs"/>
    <s v="Regarding your / Your Siblings marriage"/>
    <x v="0"/>
    <x v="1"/>
  </r>
  <r>
    <x v="1"/>
    <x v="12"/>
    <x v="0"/>
    <n v="0"/>
    <x v="0"/>
    <n v="200"/>
    <s v="Family member"/>
    <s v="Family members/Friends"/>
    <s v="Personal Savings"/>
    <x v="3"/>
    <x v="0"/>
  </r>
  <r>
    <x v="0"/>
    <x v="4"/>
    <x v="1"/>
    <n v="400000"/>
    <x v="1"/>
    <n v="1000"/>
    <s v="Social media/ Articles"/>
    <s v="Mobile applications"/>
    <s v="Wealth generation"/>
    <x v="5"/>
    <x v="1"/>
  </r>
  <r>
    <x v="0"/>
    <x v="4"/>
    <x v="1"/>
    <n v="250000"/>
    <x v="1"/>
    <n v="1500"/>
    <s v="Friends"/>
    <s v="Mobile applications"/>
    <s v="Construction of own House / Buying a new Car"/>
    <x v="3"/>
    <x v="1"/>
  </r>
  <r>
    <x v="1"/>
    <x v="8"/>
    <x v="1"/>
    <n v="150000"/>
    <x v="1"/>
    <n v="1000"/>
    <s v="Family member"/>
    <s v="Family members/Friends"/>
    <s v="Personal Savings"/>
    <x v="12"/>
    <x v="0"/>
  </r>
  <r>
    <x v="0"/>
    <x v="18"/>
    <x v="1"/>
    <n v="600000"/>
    <x v="7"/>
    <n v="8500"/>
    <s v="Friends"/>
    <s v="News articles / Current affairs"/>
    <s v="Tax saving"/>
    <x v="0"/>
    <x v="1"/>
  </r>
  <r>
    <x v="1"/>
    <x v="17"/>
    <x v="0"/>
    <n v="0"/>
    <x v="8"/>
    <n v="1000"/>
    <s v="Family member"/>
    <s v="Family members/Friends"/>
    <s v="Personal Savings"/>
    <x v="7"/>
    <x v="1"/>
  </r>
  <r>
    <x v="0"/>
    <x v="5"/>
    <x v="1"/>
    <n v="400000"/>
    <x v="1"/>
    <n v="1200"/>
    <s v="Social media/ Articles"/>
    <s v="Mobile applications"/>
    <s v="Planning for finacial freedom after Retirement"/>
    <x v="2"/>
    <x v="1"/>
  </r>
  <r>
    <x v="0"/>
    <x v="8"/>
    <x v="1"/>
    <n v="150000"/>
    <x v="2"/>
    <n v="500"/>
    <s v="Agents/Investment brokers"/>
    <s v="Brokers"/>
    <s v="Wealth generation"/>
    <x v="5"/>
    <x v="0"/>
  </r>
  <r>
    <x v="1"/>
    <x v="4"/>
    <x v="1"/>
    <n v="350000"/>
    <x v="0"/>
    <n v="2500"/>
    <s v="Family member"/>
    <s v="Family members/Friends"/>
    <s v="Children's education/ Marriage"/>
    <x v="0"/>
    <x v="1"/>
  </r>
  <r>
    <x v="0"/>
    <x v="17"/>
    <x v="1"/>
    <n v="400000"/>
    <x v="2"/>
    <n v="3000"/>
    <s v="Friends"/>
    <s v="Books"/>
    <s v="Children's education/ Marriage"/>
    <x v="0"/>
    <x v="1"/>
  </r>
  <r>
    <x v="1"/>
    <x v="3"/>
    <x v="1"/>
    <n v="400000"/>
    <x v="2"/>
    <n v="3000"/>
    <s v="Through Bank"/>
    <s v="Mobile applications"/>
    <s v="Wealth generation"/>
    <x v="5"/>
    <x v="1"/>
  </r>
  <r>
    <x v="0"/>
    <x v="6"/>
    <x v="1"/>
    <n v="300000"/>
    <x v="0"/>
    <n v="2000"/>
    <s v="Through Bank"/>
    <s v="Mobile applications"/>
    <s v="Planning for finacial freedom after Retirement"/>
    <x v="0"/>
    <x v="1"/>
  </r>
  <r>
    <x v="0"/>
    <x v="19"/>
    <x v="1"/>
    <n v="400000"/>
    <x v="0"/>
    <n v="5000"/>
    <s v="Agents/Investment brokers"/>
    <s v="News articles / Current affairs"/>
    <s v="Tax saving"/>
    <x v="13"/>
    <x v="1"/>
  </r>
  <r>
    <x v="1"/>
    <x v="8"/>
    <x v="1"/>
    <n v="400000"/>
    <x v="0"/>
    <n v="15000"/>
    <s v="Family member"/>
    <s v="Family members/Friends"/>
    <s v="Personal Savings"/>
    <x v="8"/>
    <x v="0"/>
  </r>
  <r>
    <x v="0"/>
    <x v="12"/>
    <x v="0"/>
    <n v="0"/>
    <x v="3"/>
    <n v="5000"/>
    <s v="Social media/ Articles"/>
    <s v="Mobile applications"/>
    <s v="Construction of own House / Buying a new Car"/>
    <x v="3"/>
    <x v="0"/>
  </r>
  <r>
    <x v="0"/>
    <x v="11"/>
    <x v="0"/>
    <n v="0"/>
    <x v="2"/>
    <n v="600"/>
    <s v="Friends"/>
    <s v="Books"/>
    <s v="Children's education/ Marriage"/>
    <x v="2"/>
    <x v="0"/>
  </r>
  <r>
    <x v="1"/>
    <x v="1"/>
    <x v="0"/>
    <n v="0"/>
    <x v="5"/>
    <n v="500"/>
    <s v="Through Bank"/>
    <s v="Family members/Friends"/>
    <s v="Wealth generation"/>
    <x v="12"/>
    <x v="0"/>
  </r>
  <r>
    <x v="1"/>
    <x v="10"/>
    <x v="1"/>
    <n v="350000"/>
    <x v="5"/>
    <n v="2500"/>
    <s v="Schemes"/>
    <s v="Family members/Friends"/>
    <s v="Personal Savings"/>
    <x v="3"/>
    <x v="1"/>
  </r>
  <r>
    <x v="1"/>
    <x v="4"/>
    <x v="0"/>
    <n v="0"/>
    <x v="5"/>
    <n v="1500"/>
    <s v="Family member"/>
    <s v="Family members/Friends"/>
    <s v="Wealth generation"/>
    <x v="10"/>
    <x v="1"/>
  </r>
  <r>
    <x v="0"/>
    <x v="3"/>
    <x v="1"/>
    <n v="200000"/>
    <x v="2"/>
    <n v="1000"/>
    <s v="Friends"/>
    <s v="Family members/Friends"/>
    <s v="Wealth generation"/>
    <x v="0"/>
    <x v="1"/>
  </r>
  <r>
    <x v="1"/>
    <x v="20"/>
    <x v="1"/>
    <n v="300000"/>
    <x v="0"/>
    <n v="5000"/>
    <s v="Through Bank"/>
    <s v="Investors in bank"/>
    <s v="Planning for finacial freedom after Retirement"/>
    <x v="2"/>
    <x v="1"/>
  </r>
  <r>
    <x v="0"/>
    <x v="10"/>
    <x v="1"/>
    <n v="250000"/>
    <x v="1"/>
    <n v="1500"/>
    <s v="Social media/ Articles"/>
    <s v="Mobile applications"/>
    <s v="Tax saving"/>
    <x v="3"/>
    <x v="1"/>
  </r>
  <r>
    <x v="0"/>
    <x v="3"/>
    <x v="1"/>
    <n v="300000"/>
    <x v="2"/>
    <n v="5000"/>
    <s v="Self"/>
    <s v="Family members/Friends"/>
    <s v="Wealth generation"/>
    <x v="0"/>
    <x v="1"/>
  </r>
  <r>
    <x v="0"/>
    <x v="1"/>
    <x v="0"/>
    <n v="0"/>
    <x v="1"/>
    <n v="500"/>
    <s v="Friends"/>
    <s v="Mobile applications"/>
    <s v="Wealth generation"/>
    <x v="3"/>
    <x v="0"/>
  </r>
  <r>
    <x v="1"/>
    <x v="14"/>
    <x v="0"/>
    <n v="0"/>
    <x v="0"/>
    <n v="500"/>
    <s v="Family member"/>
    <s v="Family members/Friends"/>
    <s v="Personal Savings"/>
    <x v="3"/>
    <x v="0"/>
  </r>
  <r>
    <x v="0"/>
    <x v="5"/>
    <x v="1"/>
    <n v="350000"/>
    <x v="5"/>
    <n v="1500"/>
    <s v="Agents/Investment brokers"/>
    <s v="Family members/Friends"/>
    <s v="Regarding your / Your Siblings marriage"/>
    <x v="3"/>
    <x v="1"/>
  </r>
  <r>
    <x v="0"/>
    <x v="10"/>
    <x v="1"/>
    <n v="250000"/>
    <x v="1"/>
    <n v="1000"/>
    <s v="Social media/ Articles"/>
    <s v="Mobile applications"/>
    <s v="Wealth generation"/>
    <x v="0"/>
    <x v="1"/>
  </r>
  <r>
    <x v="0"/>
    <x v="4"/>
    <x v="1"/>
    <n v="400000"/>
    <x v="7"/>
    <n v="8500"/>
    <s v="Agents/Investment brokers"/>
    <s v="Family members/Friends"/>
    <s v="Construction of own House / Buying a new Car"/>
    <x v="3"/>
    <x v="1"/>
  </r>
  <r>
    <x v="1"/>
    <x v="1"/>
    <x v="0"/>
    <n v="0"/>
    <x v="0"/>
    <n v="1000"/>
    <s v="Family member"/>
    <s v="Family members/Friends"/>
    <s v="Personal Savings"/>
    <x v="5"/>
    <x v="0"/>
  </r>
  <r>
    <x v="1"/>
    <x v="10"/>
    <x v="1"/>
    <n v="250000"/>
    <x v="2"/>
    <n v="2500"/>
    <s v="Through Bank"/>
    <s v="Mobile applications"/>
    <s v="Wealth generation"/>
    <x v="5"/>
    <x v="1"/>
  </r>
  <r>
    <x v="0"/>
    <x v="14"/>
    <x v="1"/>
    <n v="120000"/>
    <x v="1"/>
    <n v="500"/>
    <s v="Friends"/>
    <s v="News articles / Current affairs"/>
    <s v="Wealth generation"/>
    <x v="3"/>
    <x v="0"/>
  </r>
  <r>
    <x v="0"/>
    <x v="8"/>
    <x v="1"/>
    <n v="200000"/>
    <x v="2"/>
    <n v="1500"/>
    <s v="Social media/ Articles"/>
    <s v="News articles / Current affairs"/>
    <s v="Planning for finacial freedom after Retirement"/>
    <x v="14"/>
    <x v="0"/>
  </r>
  <r>
    <x v="1"/>
    <x v="2"/>
    <x v="1"/>
    <n v="120000"/>
    <x v="2"/>
    <n v="1500"/>
    <s v="Social media/ Articles"/>
    <s v="Books"/>
    <s v="Wealth generation"/>
    <x v="5"/>
    <x v="0"/>
  </r>
  <r>
    <x v="0"/>
    <x v="3"/>
    <x v="1"/>
    <n v="260000"/>
    <x v="5"/>
    <n v="2000"/>
    <s v="Social media/ Articles"/>
    <s v="Family members/Friends"/>
    <s v="Regarding your / Your Siblings marriage"/>
    <x v="3"/>
    <x v="1"/>
  </r>
  <r>
    <x v="0"/>
    <x v="2"/>
    <x v="0"/>
    <n v="0"/>
    <x v="1"/>
    <n v="500"/>
    <s v="Social media/ Articles"/>
    <s v="Mobile applications"/>
    <s v="Wealth generation"/>
    <x v="0"/>
    <x v="0"/>
  </r>
  <r>
    <x v="0"/>
    <x v="17"/>
    <x v="1"/>
    <n v="250000"/>
    <x v="2"/>
    <n v="2000"/>
    <s v="Through Bank"/>
    <s v="News articles / Current affairs"/>
    <s v="Personal Savings"/>
    <x v="8"/>
    <x v="1"/>
  </r>
  <r>
    <x v="1"/>
    <x v="8"/>
    <x v="1"/>
    <n v="150000"/>
    <x v="0"/>
    <n v="1000"/>
    <s v="Family member"/>
    <s v="Family members/Friends"/>
    <s v="Construction of own House / Buying a new Car"/>
    <x v="0"/>
    <x v="0"/>
  </r>
  <r>
    <x v="1"/>
    <x v="2"/>
    <x v="0"/>
    <n v="0"/>
    <x v="2"/>
    <n v="1000"/>
    <s v="Through Bank"/>
    <s v="Mobile applications"/>
    <s v="Wealth generation"/>
    <x v="10"/>
    <x v="0"/>
  </r>
  <r>
    <x v="0"/>
    <x v="10"/>
    <x v="1"/>
    <n v="250000"/>
    <x v="1"/>
    <n v="1500"/>
    <s v="Agents/Investment brokers"/>
    <s v="Family members/Friends"/>
    <s v="Planning for finacial freedom after Retirement"/>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91A79-B60B-44D4-8B1E-EAD0E9B2A047}"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E24:F33" firstHeaderRow="1" firstDataRow="1" firstDataCol="1"/>
  <pivotFields count="11">
    <pivotField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compact="0" outline="0" showAll="0">
      <items count="3">
        <item x="0"/>
        <item x="1"/>
        <item t="default"/>
      </items>
    </pivotField>
    <pivotField compact="0" outline="0" showAll="0"/>
    <pivotField axis="axisRow" compact="0" outline="0" showAll="0" sortType="descending">
      <items count="10">
        <item x="0"/>
        <item x="8"/>
        <item x="3"/>
        <item x="5"/>
        <item x="6"/>
        <item x="2"/>
        <item x="4"/>
        <item x="7"/>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items count="16">
        <item x="7"/>
        <item x="8"/>
        <item x="1"/>
        <item x="4"/>
        <item x="3"/>
        <item x="10"/>
        <item x="12"/>
        <item x="5"/>
        <item x="14"/>
        <item x="0"/>
        <item x="2"/>
        <item x="11"/>
        <item x="13"/>
        <item x="9"/>
        <item x="6"/>
        <item t="default"/>
      </items>
    </pivotField>
    <pivotField compact="0" outline="0" showAll="0">
      <items count="3">
        <item x="1"/>
        <item x="0"/>
        <item t="default"/>
      </items>
    </pivotField>
  </pivotFields>
  <rowFields count="1">
    <field x="4"/>
  </rowFields>
  <rowItems count="9">
    <i>
      <x v="6"/>
    </i>
    <i>
      <x v="5"/>
    </i>
    <i>
      <x v="7"/>
    </i>
    <i>
      <x/>
    </i>
    <i>
      <x v="8"/>
    </i>
    <i>
      <x v="2"/>
    </i>
    <i>
      <x v="3"/>
    </i>
    <i>
      <x v="4"/>
    </i>
    <i>
      <x v="1"/>
    </i>
  </rowItems>
  <colItems count="1">
    <i/>
  </colItems>
  <dataFields count="1">
    <dataField name="Avg Duration(Years)" fld="9" subtotal="average" baseField="4" baseItem="0"/>
  </dataFields>
  <formats count="3">
    <format dxfId="38">
      <pivotArea dataOnly="0" labelOnly="1" outline="0" axis="axisValues" fieldPosition="0"/>
    </format>
    <format dxfId="37">
      <pivotArea collapsedLevelsAreSubtotals="1" fieldPosition="0">
        <references count="1">
          <reference field="4" count="0"/>
        </references>
      </pivotArea>
    </format>
    <format dxfId="3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85D93-5FFE-4528-8F2C-2684C0389A22}"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E17:G19" firstHeaderRow="0" firstDataRow="1" firstDataCol="1"/>
  <pivotFields count="11">
    <pivotField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axis="axisRow" compact="0" outline="0" showAll="0" sumSubtotal="1" countASubtotal="1">
      <items count="4">
        <item x="0"/>
        <item x="1"/>
        <item t="countA"/>
        <item t="sum"/>
      </items>
    </pivotField>
    <pivotField dataField="1" compact="0" outline="0" showAll="0"/>
    <pivotField compact="0" outline="0" showAll="0">
      <items count="10">
        <item x="0"/>
        <item x="8"/>
        <item x="3"/>
        <item x="5"/>
        <item x="6"/>
        <item x="2"/>
        <item x="4"/>
        <item x="7"/>
        <item x="1"/>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2"/>
  </rowFields>
  <rowItems count="2">
    <i>
      <x/>
    </i>
    <i>
      <x v="1"/>
    </i>
  </rowItems>
  <colFields count="1">
    <field x="-2"/>
  </colFields>
  <colItems count="2">
    <i>
      <x/>
    </i>
    <i i="1">
      <x v="1"/>
    </i>
  </colItems>
  <dataFields count="2">
    <dataField name="Avg of Annual Income ($)" fld="3" subtotal="average" baseField="2" baseItem="0"/>
    <dataField name="Monthly Investment ($)" fld="5" subtotal="average" baseField="2"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83CA2-B61A-4032-ABE9-6A5C7CB43783}"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E10:F12" firstHeaderRow="1" firstDataRow="1" firstDataCol="1"/>
  <pivotFields count="11">
    <pivotField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compact="0" outline="0" showAll="0">
      <items count="3">
        <item x="0"/>
        <item x="1"/>
        <item t="default"/>
      </items>
    </pivotField>
    <pivotField compact="0" outline="0" showAll="0"/>
    <pivotField compact="0" outline="0" showAll="0">
      <items count="10">
        <item x="0"/>
        <item x="8"/>
        <item x="3"/>
        <item x="5"/>
        <item x="6"/>
        <item x="2"/>
        <item x="4"/>
        <item x="7"/>
        <item x="1"/>
        <item t="default"/>
      </items>
    </pivotField>
    <pivotField dataField="1" compact="0" outline="0" showAll="0"/>
    <pivotField compact="0" outline="0" showAll="0"/>
    <pivotField compact="0" outline="0" showAll="0"/>
    <pivotField compact="0" outline="0" showAll="0"/>
    <pivotField compact="0" outline="0" showAll="0"/>
    <pivotField axis="axisRow" compact="0" outline="0" showAll="0" sortType="descending">
      <items count="3">
        <item x="0"/>
        <item x="1"/>
        <item t="default"/>
      </items>
    </pivotField>
  </pivotFields>
  <rowFields count="1">
    <field x="10"/>
  </rowFields>
  <rowItems count="2">
    <i>
      <x/>
    </i>
    <i>
      <x v="1"/>
    </i>
  </rowItems>
  <colItems count="1">
    <i/>
  </colItems>
  <dataFields count="1">
    <dataField name="Total Investment" fld="5" baseField="10" baseItem="0" numFmtId="164"/>
  </dataFields>
  <formats count="2">
    <format dxfId="40">
      <pivotArea dataOnly="0" labelOnly="1" outline="0" axis="axisValues" fieldPosition="0"/>
    </format>
    <format dxfId="3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DFB180-17F4-4514-8F6C-12263FDA3EC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E1:F3" firstHeaderRow="1" firstDataRow="1" firstDataCol="1"/>
  <pivotFields count="11">
    <pivotField axis="axisRow"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compact="0" outline="0" showAll="0">
      <items count="3">
        <item x="0"/>
        <item x="1"/>
        <item t="default"/>
      </items>
    </pivotField>
    <pivotField compact="0" outline="0" showAll="0"/>
    <pivotField compact="0" outline="0" showAll="0">
      <items count="10">
        <item x="0"/>
        <item x="8"/>
        <item x="3"/>
        <item x="5"/>
        <item x="6"/>
        <item x="2"/>
        <item x="4"/>
        <item x="7"/>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2">
    <i>
      <x/>
    </i>
    <i>
      <x v="1"/>
    </i>
  </rowItems>
  <colItems count="1">
    <i/>
  </colItems>
  <dataFields count="1">
    <dataField name="Total Investment" fld="5" baseField="0" baseItem="0" numFmtId="164"/>
  </dataFields>
  <formats count="2">
    <format dxfId="42">
      <pivotArea outline="0" collapsedLevelsAreSubtotals="1" fieldPosition="0"/>
    </format>
    <format dxfId="41">
      <pivotArea dataOnly="0" labelOnly="1" outline="0" axis="axisValues"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F44BE-1AC4-4A31-9E91-166A0F795560}"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1:B10" firstHeaderRow="1" firstDataRow="1" firstDataCol="1"/>
  <pivotFields count="11">
    <pivotField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compact="0" outline="0" showAll="0">
      <items count="3">
        <item x="0"/>
        <item x="1"/>
        <item t="default"/>
      </items>
    </pivotField>
    <pivotField compact="0" outline="0" showAll="0"/>
    <pivotField axis="axisRow" compact="0" outline="0" showAll="0">
      <items count="10">
        <item x="0"/>
        <item x="8"/>
        <item x="3"/>
        <item x="5"/>
        <item x="6"/>
        <item x="2"/>
        <item x="4"/>
        <item x="7"/>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9">
    <i>
      <x/>
    </i>
    <i>
      <x v="1"/>
    </i>
    <i>
      <x v="2"/>
    </i>
    <i>
      <x v="3"/>
    </i>
    <i>
      <x v="4"/>
    </i>
    <i>
      <x v="5"/>
    </i>
    <i>
      <x v="6"/>
    </i>
    <i>
      <x v="7"/>
    </i>
    <i>
      <x v="8"/>
    </i>
  </rowItems>
  <colItems count="1">
    <i/>
  </colItems>
  <dataFields count="1">
    <dataField name="Total Investment" fld="5" baseField="4" baseItem="0" numFmtId="164"/>
  </dataFields>
  <formats count="1">
    <format dxfId="4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E384B-BEA8-4664-8EF5-E9CBDBC30C8D}"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1:L3" firstHeaderRow="0" firstDataRow="1" firstDataCol="1"/>
  <pivotFields count="11">
    <pivotField compact="0" outline="0" showAll="0">
      <items count="3">
        <item x="1"/>
        <item x="0"/>
        <item t="default"/>
      </items>
    </pivotField>
    <pivotField compact="0" outline="0" showAll="0">
      <items count="22">
        <item x="12"/>
        <item x="0"/>
        <item x="11"/>
        <item x="14"/>
        <item x="2"/>
        <item x="8"/>
        <item x="1"/>
        <item x="3"/>
        <item x="10"/>
        <item x="4"/>
        <item x="5"/>
        <item x="17"/>
        <item x="15"/>
        <item x="9"/>
        <item x="20"/>
        <item x="6"/>
        <item x="18"/>
        <item x="19"/>
        <item x="16"/>
        <item x="13"/>
        <item x="7"/>
        <item t="default"/>
      </items>
    </pivotField>
    <pivotField axis="axisRow" dataField="1" compact="0" outline="0" showAll="0">
      <items count="3">
        <item x="0"/>
        <item x="1"/>
        <item t="default"/>
      </items>
    </pivotField>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2">
    <i>
      <x/>
    </i>
    <i>
      <x v="1"/>
    </i>
  </rowItems>
  <colFields count="1">
    <field x="-2"/>
  </colFields>
  <colItems count="3">
    <i>
      <x/>
    </i>
    <i i="1">
      <x v="1"/>
    </i>
    <i i="2">
      <x v="2"/>
    </i>
  </colItems>
  <dataFields count="3">
    <dataField name="No.of People" fld="2" subtotal="count" baseField="2" baseItem="0"/>
    <dataField name="Average of Annual_income" fld="3" subtotal="average" baseField="2" baseItem="0" numFmtId="164"/>
    <dataField name="Average of Investment(Monthly)" fld="5" subtotal="average" baseField="2" baseItem="0" numFmtId="164"/>
  </dataFields>
  <formats count="4">
    <format dxfId="47">
      <pivotArea outline="0" collapsedLevelsAreSubtotals="1" fieldPosition="0">
        <references count="1">
          <reference field="4294967294" count="1" selected="0">
            <x v="1"/>
          </reference>
        </references>
      </pivotArea>
    </format>
    <format dxfId="46">
      <pivotArea dataOnly="0" labelOnly="1" outline="0" fieldPosition="0">
        <references count="1">
          <reference field="4294967294" count="1">
            <x v="1"/>
          </reference>
        </references>
      </pivotArea>
    </format>
    <format dxfId="45">
      <pivotArea outline="0" collapsedLevelsAreSubtotals="1" fieldPosition="0">
        <references count="1">
          <reference field="4294967294" count="1" selected="0">
            <x v="2"/>
          </reference>
        </references>
      </pivotArea>
    </format>
    <format dxfId="4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professional" xr10:uid="{D7F35870-527B-4759-895C-9D5DD09984AC}" sourceName="Working_professional">
  <pivotTables>
    <pivotTable tabId="8" name="PivotTable19"/>
    <pivotTable tabId="8" name="PivotTable14"/>
    <pivotTable tabId="8" name="PivotTable15"/>
    <pivotTable tabId="8" name="PivotTable16"/>
    <pivotTable tabId="8" name="PivotTable17"/>
    <pivotTable tabId="8" name="PivotTable18"/>
  </pivotTables>
  <data>
    <tabular pivotCacheId="6800517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6C89E1-46DA-4376-A99E-B469C7053B9E}" sourceName="Gender">
  <pivotTables>
    <pivotTable tabId="8" name="PivotTable19"/>
    <pivotTable tabId="8" name="PivotTable14"/>
    <pivotTable tabId="8" name="PivotTable15"/>
    <pivotTable tabId="8" name="PivotTable16"/>
    <pivotTable tabId="8" name="PivotTable17"/>
    <pivotTable tabId="8" name="PivotTable18"/>
  </pivotTables>
  <data>
    <tabular pivotCacheId="6800517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5FD36E6-9E40-42E3-A9CD-6540C20A4B9D}" sourceName="Age">
  <pivotTables>
    <pivotTable tabId="8" name="PivotTable19"/>
    <pivotTable tabId="8" name="PivotTable14"/>
    <pivotTable tabId="8" name="PivotTable15"/>
    <pivotTable tabId="8" name="PivotTable16"/>
    <pivotTable tabId="8" name="PivotTable17"/>
    <pivotTable tabId="8" name="PivotTable18"/>
  </pivotTables>
  <data>
    <tabular pivotCacheId="680051704">
      <items count="21">
        <i x="12" s="1"/>
        <i x="0" s="1"/>
        <i x="11" s="1"/>
        <i x="14" s="1"/>
        <i x="2" s="1"/>
        <i x="8" s="1"/>
        <i x="1" s="1"/>
        <i x="3" s="1"/>
        <i x="10" s="1"/>
        <i x="4" s="1"/>
        <i x="5" s="1"/>
        <i x="17" s="1"/>
        <i x="15" s="1"/>
        <i x="9" s="1"/>
        <i x="20" s="1"/>
        <i x="6" s="1"/>
        <i x="18" s="1"/>
        <i x="19" s="1"/>
        <i x="16"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ing_professional 1" xr10:uid="{09794C20-07BC-4692-9877-021943238680}" cache="Slicer_Working_professional" caption="Working_professional" rowHeight="1044000"/>
  <slicer name="Gender 1" xr10:uid="{15BD2378-DD74-4D2C-A7AD-817DA33E4CC7}" cache="Slicer_Gender" caption="Gender" rowHeight="1044000"/>
  <slicer name="Age 1" xr10:uid="{5E045F41-26E2-4294-8F5E-E2F851A2AE4E}" cache="Slicer_Age" caption="Age" startItem="2" rowHeight="2476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941C7-6CC5-41ED-BFC9-2E7C2E33888E}">
  <dimension ref="A1:K102"/>
  <sheetViews>
    <sheetView workbookViewId="0">
      <selection sqref="A1:K101"/>
    </sheetView>
  </sheetViews>
  <sheetFormatPr defaultRowHeight="15" x14ac:dyDescent="0.35"/>
  <cols>
    <col min="4" max="4" width="19.54296875" customWidth="1"/>
    <col min="7" max="7" width="14.81640625" customWidth="1"/>
    <col min="10" max="10" width="22.26953125" customWidth="1"/>
  </cols>
  <sheetData>
    <row r="1" spans="1:11" x14ac:dyDescent="0.35">
      <c r="A1" t="s">
        <v>0</v>
      </c>
      <c r="B1" t="s">
        <v>1</v>
      </c>
      <c r="C1" t="s">
        <v>2</v>
      </c>
      <c r="D1" t="s">
        <v>3</v>
      </c>
      <c r="E1" t="s">
        <v>4</v>
      </c>
      <c r="F1" t="s">
        <v>5</v>
      </c>
      <c r="G1" t="s">
        <v>6</v>
      </c>
      <c r="H1" t="s">
        <v>7</v>
      </c>
      <c r="I1" t="s">
        <v>8</v>
      </c>
      <c r="J1" t="s">
        <v>9</v>
      </c>
      <c r="K1" t="s">
        <v>47</v>
      </c>
    </row>
    <row r="2" spans="1:11" x14ac:dyDescent="0.35">
      <c r="A2" t="s">
        <v>10</v>
      </c>
      <c r="B2">
        <v>19</v>
      </c>
      <c r="C2">
        <v>0</v>
      </c>
      <c r="D2">
        <v>0</v>
      </c>
      <c r="E2" t="s">
        <v>11</v>
      </c>
      <c r="F2">
        <v>200</v>
      </c>
      <c r="G2" t="s">
        <v>12</v>
      </c>
      <c r="H2" t="s">
        <v>13</v>
      </c>
      <c r="I2" t="s">
        <v>14</v>
      </c>
      <c r="J2">
        <v>10</v>
      </c>
      <c r="K2" t="str">
        <f>IF(B2&lt;25,"below 25","above 25")</f>
        <v>below 25</v>
      </c>
    </row>
    <row r="3" spans="1:11" x14ac:dyDescent="0.35">
      <c r="A3" t="s">
        <v>15</v>
      </c>
      <c r="B3">
        <v>24</v>
      </c>
      <c r="C3">
        <v>0</v>
      </c>
      <c r="D3">
        <v>0</v>
      </c>
      <c r="E3" t="s">
        <v>11</v>
      </c>
      <c r="F3">
        <v>1000</v>
      </c>
      <c r="G3" t="s">
        <v>16</v>
      </c>
      <c r="H3" t="s">
        <v>17</v>
      </c>
      <c r="I3" t="s">
        <v>14</v>
      </c>
      <c r="J3">
        <v>3</v>
      </c>
      <c r="K3" t="str">
        <f t="shared" ref="K3:K66" si="0">IF(B3&lt;25,"below 25","above 25")</f>
        <v>below 25</v>
      </c>
    </row>
    <row r="4" spans="1:11" x14ac:dyDescent="0.35">
      <c r="A4" t="s">
        <v>10</v>
      </c>
      <c r="B4">
        <v>24</v>
      </c>
      <c r="C4">
        <v>1</v>
      </c>
      <c r="D4">
        <v>400000</v>
      </c>
      <c r="E4" t="s">
        <v>18</v>
      </c>
      <c r="F4">
        <v>5000</v>
      </c>
      <c r="G4" t="s">
        <v>16</v>
      </c>
      <c r="H4" t="s">
        <v>19</v>
      </c>
      <c r="I4" t="s">
        <v>20</v>
      </c>
      <c r="J4">
        <v>10</v>
      </c>
      <c r="K4" t="str">
        <f t="shared" si="0"/>
        <v>below 25</v>
      </c>
    </row>
    <row r="5" spans="1:11" x14ac:dyDescent="0.35">
      <c r="A5" t="s">
        <v>10</v>
      </c>
      <c r="B5">
        <v>22</v>
      </c>
      <c r="C5">
        <v>1</v>
      </c>
      <c r="D5">
        <v>150000</v>
      </c>
      <c r="E5" t="s">
        <v>21</v>
      </c>
      <c r="F5">
        <v>2000</v>
      </c>
      <c r="G5" t="s">
        <v>22</v>
      </c>
      <c r="H5" t="s">
        <v>19</v>
      </c>
      <c r="I5" t="s">
        <v>14</v>
      </c>
      <c r="J5">
        <v>10</v>
      </c>
      <c r="K5" t="str">
        <f t="shared" si="0"/>
        <v>below 25</v>
      </c>
    </row>
    <row r="6" spans="1:11" x14ac:dyDescent="0.35">
      <c r="A6" t="s">
        <v>10</v>
      </c>
      <c r="B6">
        <v>25</v>
      </c>
      <c r="C6">
        <v>1</v>
      </c>
      <c r="D6">
        <v>250000</v>
      </c>
      <c r="E6" t="s">
        <v>21</v>
      </c>
      <c r="F6">
        <v>2000</v>
      </c>
      <c r="G6" t="s">
        <v>23</v>
      </c>
      <c r="H6" t="s">
        <v>24</v>
      </c>
      <c r="I6" t="s">
        <v>14</v>
      </c>
      <c r="J6">
        <v>15</v>
      </c>
      <c r="K6" t="str">
        <f t="shared" si="0"/>
        <v>above 25</v>
      </c>
    </row>
    <row r="7" spans="1:11" x14ac:dyDescent="0.35">
      <c r="A7" t="s">
        <v>10</v>
      </c>
      <c r="B7">
        <v>27</v>
      </c>
      <c r="C7">
        <v>1</v>
      </c>
      <c r="D7">
        <v>384000</v>
      </c>
      <c r="E7" t="s">
        <v>25</v>
      </c>
      <c r="F7">
        <v>3000</v>
      </c>
      <c r="G7" t="s">
        <v>16</v>
      </c>
      <c r="H7" t="s">
        <v>16</v>
      </c>
      <c r="I7" t="s">
        <v>14</v>
      </c>
      <c r="J7">
        <v>5</v>
      </c>
      <c r="K7" t="str">
        <f t="shared" si="0"/>
        <v>above 25</v>
      </c>
    </row>
    <row r="8" spans="1:11" x14ac:dyDescent="0.35">
      <c r="A8" t="s">
        <v>10</v>
      </c>
      <c r="B8">
        <v>24</v>
      </c>
      <c r="C8">
        <v>1</v>
      </c>
      <c r="D8">
        <v>150000</v>
      </c>
      <c r="E8" t="s">
        <v>26</v>
      </c>
      <c r="F8">
        <v>2000</v>
      </c>
      <c r="G8" t="s">
        <v>27</v>
      </c>
      <c r="H8" t="s">
        <v>13</v>
      </c>
      <c r="I8" t="s">
        <v>20</v>
      </c>
      <c r="J8">
        <v>15</v>
      </c>
      <c r="K8" t="str">
        <f t="shared" si="0"/>
        <v>below 25</v>
      </c>
    </row>
    <row r="9" spans="1:11" x14ac:dyDescent="0.35">
      <c r="A9" t="s">
        <v>15</v>
      </c>
      <c r="B9">
        <v>22</v>
      </c>
      <c r="C9">
        <v>0</v>
      </c>
      <c r="D9">
        <v>0</v>
      </c>
      <c r="E9" t="s">
        <v>28</v>
      </c>
      <c r="F9">
        <v>500</v>
      </c>
      <c r="G9" t="s">
        <v>12</v>
      </c>
      <c r="H9" t="s">
        <v>13</v>
      </c>
      <c r="I9" t="s">
        <v>29</v>
      </c>
      <c r="J9">
        <v>10</v>
      </c>
      <c r="K9" t="str">
        <f t="shared" si="0"/>
        <v>below 25</v>
      </c>
    </row>
    <row r="10" spans="1:11" x14ac:dyDescent="0.35">
      <c r="A10" t="s">
        <v>15</v>
      </c>
      <c r="B10">
        <v>25</v>
      </c>
      <c r="C10">
        <v>0</v>
      </c>
      <c r="D10">
        <v>0</v>
      </c>
      <c r="E10" t="s">
        <v>11</v>
      </c>
      <c r="F10">
        <v>2000</v>
      </c>
      <c r="G10" t="s">
        <v>12</v>
      </c>
      <c r="H10" t="s">
        <v>13</v>
      </c>
      <c r="I10" t="s">
        <v>29</v>
      </c>
      <c r="J10">
        <v>5</v>
      </c>
      <c r="K10" t="str">
        <f t="shared" si="0"/>
        <v>above 25</v>
      </c>
    </row>
    <row r="11" spans="1:11" x14ac:dyDescent="0.35">
      <c r="A11" t="s">
        <v>10</v>
      </c>
      <c r="B11">
        <v>28</v>
      </c>
      <c r="C11">
        <v>1</v>
      </c>
      <c r="D11">
        <v>500000</v>
      </c>
      <c r="E11" t="s">
        <v>18</v>
      </c>
      <c r="F11">
        <v>5000</v>
      </c>
      <c r="G11" t="s">
        <v>30</v>
      </c>
      <c r="H11" t="s">
        <v>17</v>
      </c>
      <c r="I11" t="s">
        <v>14</v>
      </c>
      <c r="J11">
        <v>10</v>
      </c>
      <c r="K11" t="str">
        <f t="shared" si="0"/>
        <v>above 25</v>
      </c>
    </row>
    <row r="12" spans="1:11" x14ac:dyDescent="0.35">
      <c r="A12" t="s">
        <v>15</v>
      </c>
      <c r="B12">
        <v>35</v>
      </c>
      <c r="C12">
        <v>0</v>
      </c>
      <c r="D12">
        <v>0</v>
      </c>
      <c r="E12" t="s">
        <v>11</v>
      </c>
      <c r="F12">
        <v>2000</v>
      </c>
      <c r="G12" t="s">
        <v>12</v>
      </c>
      <c r="H12" t="s">
        <v>13</v>
      </c>
      <c r="I12" t="s">
        <v>31</v>
      </c>
      <c r="J12">
        <v>10</v>
      </c>
      <c r="K12" t="str">
        <f t="shared" si="0"/>
        <v>above 25</v>
      </c>
    </row>
    <row r="13" spans="1:11" x14ac:dyDescent="0.35">
      <c r="A13" t="s">
        <v>15</v>
      </c>
      <c r="B13">
        <v>28</v>
      </c>
      <c r="C13">
        <v>1</v>
      </c>
      <c r="D13">
        <v>300000</v>
      </c>
      <c r="E13" t="s">
        <v>28</v>
      </c>
      <c r="F13">
        <v>5000</v>
      </c>
      <c r="G13" t="s">
        <v>32</v>
      </c>
      <c r="H13" t="s">
        <v>13</v>
      </c>
      <c r="I13" t="s">
        <v>33</v>
      </c>
      <c r="J13">
        <v>3</v>
      </c>
      <c r="K13" t="str">
        <f t="shared" si="0"/>
        <v>above 25</v>
      </c>
    </row>
    <row r="14" spans="1:11" x14ac:dyDescent="0.35">
      <c r="A14" t="s">
        <v>10</v>
      </c>
      <c r="B14">
        <v>56</v>
      </c>
      <c r="C14">
        <v>1</v>
      </c>
      <c r="D14">
        <v>200000</v>
      </c>
      <c r="E14" t="s">
        <v>21</v>
      </c>
      <c r="F14">
        <v>1000</v>
      </c>
      <c r="G14" t="s">
        <v>34</v>
      </c>
      <c r="H14" t="s">
        <v>19</v>
      </c>
      <c r="I14" t="s">
        <v>20</v>
      </c>
      <c r="J14">
        <v>4</v>
      </c>
      <c r="K14" t="str">
        <f t="shared" si="0"/>
        <v>above 25</v>
      </c>
    </row>
    <row r="15" spans="1:11" x14ac:dyDescent="0.35">
      <c r="A15" t="s">
        <v>10</v>
      </c>
      <c r="B15">
        <v>23</v>
      </c>
      <c r="C15">
        <v>0</v>
      </c>
      <c r="D15">
        <v>0</v>
      </c>
      <c r="E15" t="s">
        <v>18</v>
      </c>
      <c r="F15">
        <v>500</v>
      </c>
      <c r="G15" t="s">
        <v>30</v>
      </c>
      <c r="H15" t="s">
        <v>17</v>
      </c>
      <c r="I15" t="s">
        <v>35</v>
      </c>
      <c r="J15">
        <v>15</v>
      </c>
      <c r="K15" t="str">
        <f t="shared" si="0"/>
        <v>below 25</v>
      </c>
    </row>
    <row r="16" spans="1:11" x14ac:dyDescent="0.35">
      <c r="A16" t="s">
        <v>15</v>
      </c>
      <c r="B16">
        <v>19</v>
      </c>
      <c r="C16">
        <v>0</v>
      </c>
      <c r="D16">
        <v>0</v>
      </c>
      <c r="E16" t="s">
        <v>11</v>
      </c>
      <c r="F16">
        <v>1000</v>
      </c>
      <c r="G16" t="s">
        <v>34</v>
      </c>
      <c r="H16" t="s">
        <v>24</v>
      </c>
      <c r="I16" t="s">
        <v>29</v>
      </c>
      <c r="J16">
        <v>10</v>
      </c>
      <c r="K16" t="str">
        <f t="shared" si="0"/>
        <v>below 25</v>
      </c>
    </row>
    <row r="17" spans="1:11" x14ac:dyDescent="0.35">
      <c r="A17" t="s">
        <v>10</v>
      </c>
      <c r="B17">
        <v>31</v>
      </c>
      <c r="C17">
        <v>1</v>
      </c>
      <c r="D17">
        <v>200000</v>
      </c>
      <c r="E17" t="s">
        <v>18</v>
      </c>
      <c r="F17">
        <v>1000</v>
      </c>
      <c r="G17" t="s">
        <v>16</v>
      </c>
      <c r="H17" t="s">
        <v>17</v>
      </c>
      <c r="I17" t="s">
        <v>29</v>
      </c>
      <c r="J17">
        <v>5</v>
      </c>
      <c r="K17" t="str">
        <f t="shared" si="0"/>
        <v>above 25</v>
      </c>
    </row>
    <row r="18" spans="1:11" x14ac:dyDescent="0.35">
      <c r="A18" t="s">
        <v>10</v>
      </c>
      <c r="B18">
        <v>26</v>
      </c>
      <c r="C18">
        <v>0</v>
      </c>
      <c r="D18">
        <v>0</v>
      </c>
      <c r="E18" t="s">
        <v>11</v>
      </c>
      <c r="F18">
        <v>500</v>
      </c>
      <c r="G18" t="s">
        <v>32</v>
      </c>
      <c r="H18" t="s">
        <v>19</v>
      </c>
      <c r="I18" t="s">
        <v>14</v>
      </c>
      <c r="J18">
        <v>4</v>
      </c>
      <c r="K18" t="str">
        <f t="shared" si="0"/>
        <v>above 25</v>
      </c>
    </row>
    <row r="19" spans="1:11" x14ac:dyDescent="0.35">
      <c r="A19" t="s">
        <v>10</v>
      </c>
      <c r="B19">
        <v>28</v>
      </c>
      <c r="C19">
        <v>1</v>
      </c>
      <c r="D19">
        <v>300000</v>
      </c>
      <c r="E19" t="s">
        <v>21</v>
      </c>
      <c r="F19">
        <v>2500</v>
      </c>
      <c r="G19" t="s">
        <v>34</v>
      </c>
      <c r="H19" t="s">
        <v>13</v>
      </c>
      <c r="I19" t="s">
        <v>14</v>
      </c>
      <c r="J19">
        <v>8</v>
      </c>
      <c r="K19" t="str">
        <f t="shared" si="0"/>
        <v>above 25</v>
      </c>
    </row>
    <row r="20" spans="1:11" x14ac:dyDescent="0.35">
      <c r="A20" t="s">
        <v>15</v>
      </c>
      <c r="B20">
        <v>26</v>
      </c>
      <c r="C20">
        <v>1</v>
      </c>
      <c r="D20">
        <v>150000</v>
      </c>
      <c r="E20" t="s">
        <v>11</v>
      </c>
      <c r="F20">
        <v>1500</v>
      </c>
      <c r="G20" t="s">
        <v>12</v>
      </c>
      <c r="H20" t="s">
        <v>13</v>
      </c>
      <c r="I20" t="s">
        <v>33</v>
      </c>
      <c r="J20">
        <v>3</v>
      </c>
      <c r="K20" t="str">
        <f t="shared" si="0"/>
        <v>above 25</v>
      </c>
    </row>
    <row r="21" spans="1:11" x14ac:dyDescent="0.35">
      <c r="A21" t="s">
        <v>10</v>
      </c>
      <c r="B21">
        <v>23</v>
      </c>
      <c r="C21">
        <v>0</v>
      </c>
      <c r="D21">
        <v>0</v>
      </c>
      <c r="E21" t="s">
        <v>11</v>
      </c>
      <c r="F21" t="s">
        <v>36</v>
      </c>
      <c r="G21" t="s">
        <v>34</v>
      </c>
      <c r="H21" t="s">
        <v>24</v>
      </c>
      <c r="I21" t="s">
        <v>31</v>
      </c>
      <c r="J21" t="s">
        <v>36</v>
      </c>
      <c r="K21" t="str">
        <f t="shared" si="0"/>
        <v>below 25</v>
      </c>
    </row>
    <row r="22" spans="1:11" x14ac:dyDescent="0.35">
      <c r="A22" t="s">
        <v>10</v>
      </c>
      <c r="B22">
        <v>20</v>
      </c>
      <c r="C22">
        <v>0</v>
      </c>
      <c r="D22">
        <v>0</v>
      </c>
      <c r="E22" t="s">
        <v>11</v>
      </c>
      <c r="F22">
        <v>5000</v>
      </c>
      <c r="G22" t="s">
        <v>34</v>
      </c>
      <c r="H22" t="s">
        <v>24</v>
      </c>
      <c r="I22" t="s">
        <v>29</v>
      </c>
      <c r="J22">
        <v>1</v>
      </c>
      <c r="K22" t="str">
        <f t="shared" si="0"/>
        <v>below 25</v>
      </c>
    </row>
    <row r="23" spans="1:11" x14ac:dyDescent="0.35">
      <c r="A23" t="s">
        <v>10</v>
      </c>
      <c r="B23">
        <v>18</v>
      </c>
      <c r="C23">
        <v>0</v>
      </c>
      <c r="D23">
        <v>360000</v>
      </c>
      <c r="E23" t="s">
        <v>25</v>
      </c>
      <c r="F23">
        <v>30000</v>
      </c>
      <c r="G23" t="s">
        <v>30</v>
      </c>
      <c r="H23" t="s">
        <v>13</v>
      </c>
      <c r="I23" t="s">
        <v>31</v>
      </c>
      <c r="J23">
        <v>2</v>
      </c>
      <c r="K23" t="str">
        <f t="shared" si="0"/>
        <v>below 25</v>
      </c>
    </row>
    <row r="24" spans="1:11" x14ac:dyDescent="0.35">
      <c r="A24" t="s">
        <v>10</v>
      </c>
      <c r="B24">
        <v>23</v>
      </c>
      <c r="C24">
        <v>1</v>
      </c>
      <c r="D24">
        <v>0</v>
      </c>
      <c r="E24" t="s">
        <v>18</v>
      </c>
      <c r="F24">
        <v>10</v>
      </c>
      <c r="G24" t="s">
        <v>16</v>
      </c>
      <c r="H24" t="s">
        <v>24</v>
      </c>
      <c r="I24" t="s">
        <v>31</v>
      </c>
      <c r="J24">
        <v>10</v>
      </c>
      <c r="K24" t="str">
        <f t="shared" si="0"/>
        <v>below 25</v>
      </c>
    </row>
    <row r="25" spans="1:11" x14ac:dyDescent="0.35">
      <c r="A25" t="s">
        <v>10</v>
      </c>
      <c r="B25">
        <v>22</v>
      </c>
      <c r="C25">
        <v>0</v>
      </c>
      <c r="D25">
        <v>0</v>
      </c>
      <c r="E25" t="s">
        <v>18</v>
      </c>
      <c r="F25">
        <v>100</v>
      </c>
      <c r="G25" t="s">
        <v>30</v>
      </c>
      <c r="H25" t="s">
        <v>17</v>
      </c>
      <c r="I25" t="s">
        <v>35</v>
      </c>
      <c r="J25">
        <v>10</v>
      </c>
      <c r="K25" t="str">
        <f t="shared" si="0"/>
        <v>below 25</v>
      </c>
    </row>
    <row r="26" spans="1:11" x14ac:dyDescent="0.35">
      <c r="A26" t="s">
        <v>10</v>
      </c>
      <c r="B26">
        <v>18</v>
      </c>
      <c r="C26">
        <v>0</v>
      </c>
      <c r="D26">
        <v>0</v>
      </c>
      <c r="E26" t="s">
        <v>11</v>
      </c>
      <c r="F26">
        <v>5000</v>
      </c>
      <c r="G26" t="s">
        <v>34</v>
      </c>
      <c r="H26" t="s">
        <v>13</v>
      </c>
      <c r="I26" t="s">
        <v>20</v>
      </c>
      <c r="J26">
        <v>25</v>
      </c>
      <c r="K26" t="str">
        <f t="shared" si="0"/>
        <v>below 25</v>
      </c>
    </row>
    <row r="27" spans="1:11" x14ac:dyDescent="0.35">
      <c r="A27" t="s">
        <v>10</v>
      </c>
      <c r="B27">
        <v>20</v>
      </c>
      <c r="C27">
        <v>0</v>
      </c>
      <c r="D27">
        <v>0</v>
      </c>
      <c r="E27" t="s">
        <v>18</v>
      </c>
      <c r="F27" t="s">
        <v>36</v>
      </c>
      <c r="G27" t="s">
        <v>12</v>
      </c>
      <c r="H27" t="s">
        <v>13</v>
      </c>
      <c r="I27" t="s">
        <v>29</v>
      </c>
      <c r="J27">
        <v>2</v>
      </c>
      <c r="K27" t="str">
        <f t="shared" si="0"/>
        <v>below 25</v>
      </c>
    </row>
    <row r="28" spans="1:11" x14ac:dyDescent="0.35">
      <c r="A28" t="s">
        <v>10</v>
      </c>
      <c r="B28">
        <v>28</v>
      </c>
      <c r="C28">
        <v>1</v>
      </c>
      <c r="D28">
        <v>250000</v>
      </c>
      <c r="E28" t="s">
        <v>18</v>
      </c>
      <c r="F28">
        <v>1500</v>
      </c>
      <c r="G28" t="s">
        <v>30</v>
      </c>
      <c r="H28" t="s">
        <v>17</v>
      </c>
      <c r="I28" t="s">
        <v>14</v>
      </c>
      <c r="J28">
        <v>4</v>
      </c>
      <c r="K28" t="str">
        <f t="shared" si="0"/>
        <v>above 25</v>
      </c>
    </row>
    <row r="29" spans="1:11" x14ac:dyDescent="0.35">
      <c r="A29" t="s">
        <v>10</v>
      </c>
      <c r="B29">
        <v>23</v>
      </c>
      <c r="C29">
        <v>0</v>
      </c>
      <c r="D29">
        <v>0</v>
      </c>
      <c r="E29" t="s">
        <v>18</v>
      </c>
      <c r="F29">
        <v>10000</v>
      </c>
      <c r="G29" t="s">
        <v>30</v>
      </c>
      <c r="H29" t="s">
        <v>19</v>
      </c>
      <c r="I29" t="s">
        <v>14</v>
      </c>
      <c r="J29">
        <v>5</v>
      </c>
      <c r="K29" t="str">
        <f t="shared" si="0"/>
        <v>below 25</v>
      </c>
    </row>
    <row r="30" spans="1:11" x14ac:dyDescent="0.35">
      <c r="A30" t="s">
        <v>15</v>
      </c>
      <c r="B30">
        <v>28</v>
      </c>
      <c r="C30">
        <v>1</v>
      </c>
      <c r="D30">
        <v>120000</v>
      </c>
      <c r="E30" t="s">
        <v>21</v>
      </c>
      <c r="F30">
        <v>1000</v>
      </c>
      <c r="G30" t="s">
        <v>22</v>
      </c>
      <c r="H30" t="s">
        <v>13</v>
      </c>
      <c r="I30" t="s">
        <v>31</v>
      </c>
      <c r="J30">
        <v>5</v>
      </c>
      <c r="K30" t="str">
        <f t="shared" si="0"/>
        <v>above 25</v>
      </c>
    </row>
    <row r="31" spans="1:11" x14ac:dyDescent="0.35">
      <c r="A31" t="s">
        <v>10</v>
      </c>
      <c r="B31">
        <v>48</v>
      </c>
      <c r="C31">
        <v>0</v>
      </c>
      <c r="D31">
        <v>0</v>
      </c>
      <c r="E31" t="s">
        <v>11</v>
      </c>
      <c r="F31">
        <v>1000</v>
      </c>
      <c r="G31" t="s">
        <v>30</v>
      </c>
      <c r="H31" t="s">
        <v>13</v>
      </c>
      <c r="I31" t="s">
        <v>29</v>
      </c>
      <c r="J31">
        <v>5</v>
      </c>
      <c r="K31" t="str">
        <f t="shared" si="0"/>
        <v>above 25</v>
      </c>
    </row>
    <row r="32" spans="1:11" x14ac:dyDescent="0.35">
      <c r="A32" t="s">
        <v>10</v>
      </c>
      <c r="B32">
        <v>23</v>
      </c>
      <c r="C32">
        <v>0</v>
      </c>
      <c r="D32">
        <v>0</v>
      </c>
      <c r="E32" t="s">
        <v>18</v>
      </c>
      <c r="F32">
        <v>20000</v>
      </c>
      <c r="G32" t="s">
        <v>30</v>
      </c>
      <c r="H32" t="s">
        <v>13</v>
      </c>
      <c r="I32" t="s">
        <v>29</v>
      </c>
      <c r="J32">
        <v>2</v>
      </c>
      <c r="K32" t="str">
        <f t="shared" si="0"/>
        <v>below 25</v>
      </c>
    </row>
    <row r="33" spans="1:11" x14ac:dyDescent="0.35">
      <c r="A33" t="s">
        <v>15</v>
      </c>
      <c r="B33">
        <v>23</v>
      </c>
      <c r="C33">
        <v>0</v>
      </c>
      <c r="D33">
        <v>0</v>
      </c>
      <c r="E33" t="s">
        <v>37</v>
      </c>
      <c r="F33">
        <v>5000</v>
      </c>
      <c r="G33" t="s">
        <v>30</v>
      </c>
      <c r="H33" t="s">
        <v>13</v>
      </c>
      <c r="I33" t="s">
        <v>20</v>
      </c>
      <c r="J33">
        <v>2</v>
      </c>
      <c r="K33" t="str">
        <f t="shared" si="0"/>
        <v>below 25</v>
      </c>
    </row>
    <row r="34" spans="1:11" x14ac:dyDescent="0.35">
      <c r="A34" t="s">
        <v>15</v>
      </c>
      <c r="B34">
        <v>23</v>
      </c>
      <c r="C34">
        <v>1</v>
      </c>
      <c r="D34">
        <v>150000</v>
      </c>
      <c r="E34" t="s">
        <v>28</v>
      </c>
      <c r="F34">
        <v>2000</v>
      </c>
      <c r="G34" t="s">
        <v>12</v>
      </c>
      <c r="H34" t="s">
        <v>13</v>
      </c>
      <c r="I34" t="s">
        <v>33</v>
      </c>
      <c r="J34">
        <v>4</v>
      </c>
      <c r="K34" t="str">
        <f t="shared" si="0"/>
        <v>below 25</v>
      </c>
    </row>
    <row r="35" spans="1:11" x14ac:dyDescent="0.35">
      <c r="A35" t="s">
        <v>15</v>
      </c>
      <c r="B35">
        <v>26</v>
      </c>
      <c r="C35">
        <v>1</v>
      </c>
      <c r="D35">
        <v>300000</v>
      </c>
      <c r="E35" t="s">
        <v>21</v>
      </c>
      <c r="F35">
        <v>2000</v>
      </c>
      <c r="G35" t="s">
        <v>22</v>
      </c>
      <c r="H35" t="s">
        <v>17</v>
      </c>
      <c r="I35" t="s">
        <v>14</v>
      </c>
      <c r="J35">
        <v>10</v>
      </c>
      <c r="K35" t="str">
        <f t="shared" si="0"/>
        <v>above 25</v>
      </c>
    </row>
    <row r="36" spans="1:11" x14ac:dyDescent="0.35">
      <c r="A36" t="s">
        <v>15</v>
      </c>
      <c r="B36">
        <v>24</v>
      </c>
      <c r="C36">
        <v>1</v>
      </c>
      <c r="D36">
        <v>200000</v>
      </c>
      <c r="E36" t="s">
        <v>38</v>
      </c>
      <c r="F36">
        <v>3000</v>
      </c>
      <c r="G36" t="s">
        <v>12</v>
      </c>
      <c r="H36" t="s">
        <v>13</v>
      </c>
      <c r="I36" t="s">
        <v>35</v>
      </c>
      <c r="J36">
        <v>10</v>
      </c>
      <c r="K36" t="str">
        <f t="shared" si="0"/>
        <v>below 25</v>
      </c>
    </row>
    <row r="37" spans="1:11" x14ac:dyDescent="0.35">
      <c r="A37" t="s">
        <v>10</v>
      </c>
      <c r="B37">
        <v>20</v>
      </c>
      <c r="C37">
        <v>0</v>
      </c>
      <c r="D37">
        <v>0</v>
      </c>
      <c r="E37" t="s">
        <v>11</v>
      </c>
      <c r="F37">
        <v>2000</v>
      </c>
      <c r="G37" t="s">
        <v>12</v>
      </c>
      <c r="H37" t="s">
        <v>13</v>
      </c>
      <c r="I37" t="s">
        <v>29</v>
      </c>
      <c r="J37">
        <v>6</v>
      </c>
      <c r="K37" t="str">
        <f t="shared" si="0"/>
        <v>below 25</v>
      </c>
    </row>
    <row r="38" spans="1:11" x14ac:dyDescent="0.35">
      <c r="A38" t="s">
        <v>10</v>
      </c>
      <c r="B38">
        <v>19</v>
      </c>
      <c r="C38">
        <v>0</v>
      </c>
      <c r="D38">
        <v>0</v>
      </c>
      <c r="E38" t="s">
        <v>18</v>
      </c>
      <c r="F38">
        <v>5000</v>
      </c>
      <c r="G38" t="s">
        <v>16</v>
      </c>
      <c r="H38" t="s">
        <v>17</v>
      </c>
      <c r="I38" t="s">
        <v>29</v>
      </c>
      <c r="J38">
        <v>5</v>
      </c>
      <c r="K38" t="str">
        <f t="shared" si="0"/>
        <v>below 25</v>
      </c>
    </row>
    <row r="39" spans="1:11" x14ac:dyDescent="0.35">
      <c r="A39" t="s">
        <v>10</v>
      </c>
      <c r="B39">
        <v>20</v>
      </c>
      <c r="C39">
        <v>0</v>
      </c>
      <c r="D39">
        <v>80</v>
      </c>
      <c r="E39" t="s">
        <v>18</v>
      </c>
      <c r="F39">
        <v>1000</v>
      </c>
      <c r="G39" t="s">
        <v>30</v>
      </c>
      <c r="H39" t="s">
        <v>13</v>
      </c>
      <c r="I39" t="s">
        <v>29</v>
      </c>
      <c r="J39">
        <v>5</v>
      </c>
      <c r="K39" t="str">
        <f t="shared" si="0"/>
        <v>below 25</v>
      </c>
    </row>
    <row r="40" spans="1:11" x14ac:dyDescent="0.35">
      <c r="A40" t="s">
        <v>10</v>
      </c>
      <c r="B40">
        <v>22</v>
      </c>
      <c r="C40">
        <v>0</v>
      </c>
      <c r="D40">
        <v>0</v>
      </c>
      <c r="E40" t="s">
        <v>28</v>
      </c>
      <c r="F40">
        <v>2000</v>
      </c>
      <c r="G40" t="s">
        <v>30</v>
      </c>
      <c r="H40" t="s">
        <v>13</v>
      </c>
      <c r="I40" t="s">
        <v>39</v>
      </c>
      <c r="J40">
        <v>3</v>
      </c>
      <c r="K40" t="str">
        <f t="shared" si="0"/>
        <v>below 25</v>
      </c>
    </row>
    <row r="41" spans="1:11" x14ac:dyDescent="0.35">
      <c r="A41" t="s">
        <v>10</v>
      </c>
      <c r="B41">
        <v>21</v>
      </c>
      <c r="C41">
        <v>1</v>
      </c>
      <c r="D41">
        <v>120000</v>
      </c>
      <c r="E41" t="s">
        <v>21</v>
      </c>
      <c r="F41">
        <v>3000</v>
      </c>
      <c r="G41" t="s">
        <v>22</v>
      </c>
      <c r="H41" t="s">
        <v>13</v>
      </c>
      <c r="I41" t="s">
        <v>35</v>
      </c>
      <c r="J41">
        <v>10</v>
      </c>
      <c r="K41" t="str">
        <f t="shared" si="0"/>
        <v>below 25</v>
      </c>
    </row>
    <row r="42" spans="1:11" x14ac:dyDescent="0.35">
      <c r="A42" t="s">
        <v>15</v>
      </c>
      <c r="B42">
        <v>30</v>
      </c>
      <c r="C42">
        <v>1</v>
      </c>
      <c r="D42">
        <v>180000</v>
      </c>
      <c r="E42" t="s">
        <v>21</v>
      </c>
      <c r="F42">
        <v>3000</v>
      </c>
      <c r="G42" t="s">
        <v>12</v>
      </c>
      <c r="H42" t="s">
        <v>13</v>
      </c>
      <c r="I42" t="s">
        <v>29</v>
      </c>
      <c r="J42">
        <v>10</v>
      </c>
      <c r="K42" t="str">
        <f t="shared" si="0"/>
        <v>above 25</v>
      </c>
    </row>
    <row r="43" spans="1:11" x14ac:dyDescent="0.35">
      <c r="A43" t="s">
        <v>15</v>
      </c>
      <c r="B43">
        <v>45</v>
      </c>
      <c r="C43">
        <v>1</v>
      </c>
      <c r="D43">
        <v>200000</v>
      </c>
      <c r="E43" t="s">
        <v>21</v>
      </c>
      <c r="F43">
        <v>2000</v>
      </c>
      <c r="G43" t="s">
        <v>32</v>
      </c>
      <c r="H43" t="s">
        <v>24</v>
      </c>
      <c r="I43" t="s">
        <v>14</v>
      </c>
      <c r="J43">
        <v>20</v>
      </c>
      <c r="K43" t="str">
        <f t="shared" si="0"/>
        <v>above 25</v>
      </c>
    </row>
    <row r="44" spans="1:11" x14ac:dyDescent="0.35">
      <c r="A44" t="s">
        <v>10</v>
      </c>
      <c r="B44">
        <v>21</v>
      </c>
      <c r="C44">
        <v>0</v>
      </c>
      <c r="D44">
        <v>0</v>
      </c>
      <c r="E44" t="s">
        <v>21</v>
      </c>
      <c r="F44">
        <v>10000</v>
      </c>
      <c r="G44" t="s">
        <v>12</v>
      </c>
      <c r="H44" t="s">
        <v>17</v>
      </c>
      <c r="I44" t="s">
        <v>29</v>
      </c>
      <c r="J44">
        <v>10</v>
      </c>
      <c r="K44" t="str">
        <f t="shared" si="0"/>
        <v>below 25</v>
      </c>
    </row>
    <row r="45" spans="1:11" x14ac:dyDescent="0.35">
      <c r="A45" t="s">
        <v>10</v>
      </c>
      <c r="B45">
        <v>21</v>
      </c>
      <c r="C45">
        <v>0</v>
      </c>
      <c r="D45">
        <v>0</v>
      </c>
      <c r="E45" t="s">
        <v>18</v>
      </c>
      <c r="F45">
        <v>1000</v>
      </c>
      <c r="G45" t="s">
        <v>30</v>
      </c>
      <c r="H45" t="s">
        <v>13</v>
      </c>
      <c r="I45" t="s">
        <v>20</v>
      </c>
      <c r="J45">
        <v>1</v>
      </c>
      <c r="K45" t="str">
        <f t="shared" si="0"/>
        <v>below 25</v>
      </c>
    </row>
    <row r="46" spans="1:11" x14ac:dyDescent="0.35">
      <c r="A46" t="s">
        <v>15</v>
      </c>
      <c r="B46">
        <v>22</v>
      </c>
      <c r="C46">
        <v>0</v>
      </c>
      <c r="D46">
        <v>0</v>
      </c>
      <c r="E46" t="s">
        <v>11</v>
      </c>
      <c r="F46">
        <v>2000</v>
      </c>
      <c r="G46" t="s">
        <v>12</v>
      </c>
      <c r="H46" t="s">
        <v>13</v>
      </c>
      <c r="I46" t="s">
        <v>29</v>
      </c>
      <c r="J46">
        <v>10</v>
      </c>
      <c r="K46" t="str">
        <f t="shared" si="0"/>
        <v>below 25</v>
      </c>
    </row>
    <row r="47" spans="1:11" x14ac:dyDescent="0.35">
      <c r="A47" t="s">
        <v>10</v>
      </c>
      <c r="B47">
        <v>24</v>
      </c>
      <c r="C47">
        <v>1</v>
      </c>
      <c r="D47">
        <v>200000</v>
      </c>
      <c r="E47" t="s">
        <v>18</v>
      </c>
      <c r="F47">
        <v>1000</v>
      </c>
      <c r="G47" t="s">
        <v>30</v>
      </c>
      <c r="H47" t="s">
        <v>17</v>
      </c>
      <c r="I47" t="s">
        <v>29</v>
      </c>
      <c r="J47">
        <v>10</v>
      </c>
      <c r="K47" t="str">
        <f t="shared" si="0"/>
        <v>below 25</v>
      </c>
    </row>
    <row r="48" spans="1:11" x14ac:dyDescent="0.35">
      <c r="A48" t="s">
        <v>15</v>
      </c>
      <c r="B48">
        <v>22</v>
      </c>
      <c r="C48">
        <v>0</v>
      </c>
      <c r="D48">
        <v>0</v>
      </c>
      <c r="E48" t="s">
        <v>11</v>
      </c>
      <c r="F48">
        <v>500</v>
      </c>
      <c r="G48" t="s">
        <v>12</v>
      </c>
      <c r="H48" t="s">
        <v>13</v>
      </c>
      <c r="I48" t="s">
        <v>29</v>
      </c>
      <c r="J48">
        <v>6</v>
      </c>
      <c r="K48" t="str">
        <f t="shared" si="0"/>
        <v>below 25</v>
      </c>
    </row>
    <row r="49" spans="1:11" x14ac:dyDescent="0.35">
      <c r="A49" t="s">
        <v>10</v>
      </c>
      <c r="B49">
        <v>24</v>
      </c>
      <c r="C49">
        <v>0</v>
      </c>
      <c r="D49">
        <v>0</v>
      </c>
      <c r="E49" t="s">
        <v>18</v>
      </c>
      <c r="F49">
        <v>1000</v>
      </c>
      <c r="G49" t="s">
        <v>16</v>
      </c>
      <c r="H49" t="s">
        <v>24</v>
      </c>
      <c r="I49" t="s">
        <v>14</v>
      </c>
      <c r="J49">
        <v>7</v>
      </c>
      <c r="K49" t="str">
        <f t="shared" si="0"/>
        <v>below 25</v>
      </c>
    </row>
    <row r="50" spans="1:11" x14ac:dyDescent="0.35">
      <c r="A50" t="s">
        <v>15</v>
      </c>
      <c r="B50">
        <v>29</v>
      </c>
      <c r="C50">
        <v>1</v>
      </c>
      <c r="D50">
        <v>280000</v>
      </c>
      <c r="E50" t="s">
        <v>28</v>
      </c>
      <c r="F50">
        <v>4000</v>
      </c>
      <c r="G50" t="s">
        <v>12</v>
      </c>
      <c r="H50" t="s">
        <v>13</v>
      </c>
      <c r="I50" t="s">
        <v>29</v>
      </c>
      <c r="J50">
        <v>4</v>
      </c>
      <c r="K50" t="str">
        <f t="shared" si="0"/>
        <v>above 25</v>
      </c>
    </row>
    <row r="51" spans="1:11" x14ac:dyDescent="0.35">
      <c r="A51" t="s">
        <v>10</v>
      </c>
      <c r="B51">
        <v>26</v>
      </c>
      <c r="C51">
        <v>1</v>
      </c>
      <c r="D51">
        <v>350000</v>
      </c>
      <c r="E51" t="s">
        <v>21</v>
      </c>
      <c r="F51">
        <v>3000</v>
      </c>
      <c r="G51" t="s">
        <v>40</v>
      </c>
      <c r="H51" t="s">
        <v>19</v>
      </c>
      <c r="I51" t="s">
        <v>41</v>
      </c>
      <c r="J51">
        <v>10</v>
      </c>
      <c r="K51" t="str">
        <f t="shared" si="0"/>
        <v>above 25</v>
      </c>
    </row>
    <row r="52" spans="1:11" x14ac:dyDescent="0.35">
      <c r="A52" t="s">
        <v>10</v>
      </c>
      <c r="B52">
        <v>22</v>
      </c>
      <c r="C52">
        <v>0</v>
      </c>
      <c r="D52">
        <v>0</v>
      </c>
      <c r="E52" t="s">
        <v>18</v>
      </c>
      <c r="F52">
        <v>2000</v>
      </c>
      <c r="G52" t="s">
        <v>30</v>
      </c>
      <c r="H52" t="s">
        <v>17</v>
      </c>
      <c r="I52" t="s">
        <v>29</v>
      </c>
      <c r="J52">
        <v>6</v>
      </c>
      <c r="K52" t="str">
        <f t="shared" si="0"/>
        <v>below 25</v>
      </c>
    </row>
    <row r="53" spans="1:11" x14ac:dyDescent="0.35">
      <c r="A53" t="s">
        <v>15</v>
      </c>
      <c r="B53">
        <v>27</v>
      </c>
      <c r="C53">
        <v>1</v>
      </c>
      <c r="D53">
        <v>400000</v>
      </c>
      <c r="E53" t="s">
        <v>21</v>
      </c>
      <c r="F53">
        <v>5000</v>
      </c>
      <c r="G53" t="s">
        <v>16</v>
      </c>
      <c r="H53" t="s">
        <v>17</v>
      </c>
      <c r="I53" t="s">
        <v>41</v>
      </c>
      <c r="J53">
        <v>8</v>
      </c>
      <c r="K53" t="str">
        <f t="shared" si="0"/>
        <v>above 25</v>
      </c>
    </row>
    <row r="54" spans="1:11" x14ac:dyDescent="0.35">
      <c r="A54" t="s">
        <v>10</v>
      </c>
      <c r="B54">
        <v>24</v>
      </c>
      <c r="C54">
        <v>1</v>
      </c>
      <c r="D54">
        <v>250000</v>
      </c>
      <c r="E54" t="s">
        <v>18</v>
      </c>
      <c r="F54">
        <v>2000</v>
      </c>
      <c r="G54" t="s">
        <v>30</v>
      </c>
      <c r="H54" t="s">
        <v>13</v>
      </c>
      <c r="I54" t="s">
        <v>33</v>
      </c>
      <c r="J54">
        <v>6</v>
      </c>
      <c r="K54" t="str">
        <f t="shared" si="0"/>
        <v>below 25</v>
      </c>
    </row>
    <row r="55" spans="1:11" x14ac:dyDescent="0.35">
      <c r="A55" t="s">
        <v>10</v>
      </c>
      <c r="B55">
        <v>25</v>
      </c>
      <c r="C55">
        <v>1</v>
      </c>
      <c r="D55">
        <v>400000</v>
      </c>
      <c r="E55" t="s">
        <v>21</v>
      </c>
      <c r="F55">
        <v>2500</v>
      </c>
      <c r="G55" t="s">
        <v>34</v>
      </c>
      <c r="H55" t="s">
        <v>13</v>
      </c>
      <c r="I55" t="s">
        <v>35</v>
      </c>
      <c r="J55">
        <v>10</v>
      </c>
      <c r="K55" t="str">
        <f t="shared" si="0"/>
        <v>above 25</v>
      </c>
    </row>
    <row r="56" spans="1:11" x14ac:dyDescent="0.35">
      <c r="A56" t="s">
        <v>15</v>
      </c>
      <c r="B56">
        <v>22</v>
      </c>
      <c r="C56">
        <v>0</v>
      </c>
      <c r="D56">
        <v>0</v>
      </c>
      <c r="E56" t="s">
        <v>18</v>
      </c>
      <c r="F56">
        <v>500</v>
      </c>
      <c r="G56" t="s">
        <v>30</v>
      </c>
      <c r="H56" t="s">
        <v>24</v>
      </c>
      <c r="I56" t="s">
        <v>33</v>
      </c>
      <c r="J56">
        <v>5</v>
      </c>
      <c r="K56" t="str">
        <f t="shared" si="0"/>
        <v>below 25</v>
      </c>
    </row>
    <row r="57" spans="1:11" x14ac:dyDescent="0.35">
      <c r="A57" t="s">
        <v>10</v>
      </c>
      <c r="B57">
        <v>26</v>
      </c>
      <c r="C57">
        <v>1</v>
      </c>
      <c r="D57">
        <v>400000</v>
      </c>
      <c r="E57" t="s">
        <v>38</v>
      </c>
      <c r="F57">
        <v>4500</v>
      </c>
      <c r="G57" t="s">
        <v>42</v>
      </c>
      <c r="H57" t="s">
        <v>13</v>
      </c>
      <c r="I57" t="s">
        <v>14</v>
      </c>
      <c r="J57">
        <v>10</v>
      </c>
      <c r="K57" t="str">
        <f t="shared" si="0"/>
        <v>above 25</v>
      </c>
    </row>
    <row r="58" spans="1:11" x14ac:dyDescent="0.35">
      <c r="A58" t="s">
        <v>10</v>
      </c>
      <c r="B58">
        <v>21</v>
      </c>
      <c r="C58">
        <v>0</v>
      </c>
      <c r="D58">
        <v>0</v>
      </c>
      <c r="E58" t="s">
        <v>25</v>
      </c>
      <c r="F58" t="s">
        <v>36</v>
      </c>
      <c r="G58" t="s">
        <v>16</v>
      </c>
      <c r="H58" t="s">
        <v>17</v>
      </c>
      <c r="I58" t="s">
        <v>35</v>
      </c>
      <c r="J58">
        <v>15</v>
      </c>
      <c r="K58" t="str">
        <f t="shared" si="0"/>
        <v>below 25</v>
      </c>
    </row>
    <row r="59" spans="1:11" x14ac:dyDescent="0.35">
      <c r="A59" t="s">
        <v>10</v>
      </c>
      <c r="B59">
        <v>28</v>
      </c>
      <c r="C59">
        <v>1</v>
      </c>
      <c r="D59">
        <v>350000</v>
      </c>
      <c r="E59" t="s">
        <v>21</v>
      </c>
      <c r="F59">
        <v>5000</v>
      </c>
      <c r="G59" t="s">
        <v>34</v>
      </c>
      <c r="H59" t="s">
        <v>13</v>
      </c>
      <c r="I59" t="s">
        <v>31</v>
      </c>
      <c r="J59">
        <v>15</v>
      </c>
      <c r="K59" t="str">
        <f t="shared" si="0"/>
        <v>above 25</v>
      </c>
    </row>
    <row r="60" spans="1:11" x14ac:dyDescent="0.35">
      <c r="A60" t="s">
        <v>15</v>
      </c>
      <c r="B60">
        <v>24</v>
      </c>
      <c r="C60">
        <v>1</v>
      </c>
      <c r="D60">
        <v>200000</v>
      </c>
      <c r="E60" t="s">
        <v>18</v>
      </c>
      <c r="F60">
        <v>1000</v>
      </c>
      <c r="G60" t="s">
        <v>30</v>
      </c>
      <c r="H60" t="s">
        <v>17</v>
      </c>
      <c r="I60" t="s">
        <v>20</v>
      </c>
      <c r="J60">
        <v>15</v>
      </c>
      <c r="K60" t="str">
        <f t="shared" si="0"/>
        <v>below 25</v>
      </c>
    </row>
    <row r="61" spans="1:11" x14ac:dyDescent="0.35">
      <c r="A61" t="s">
        <v>10</v>
      </c>
      <c r="B61">
        <v>25</v>
      </c>
      <c r="C61">
        <v>1</v>
      </c>
      <c r="D61">
        <v>350000</v>
      </c>
      <c r="E61" t="s">
        <v>28</v>
      </c>
      <c r="F61">
        <v>2500</v>
      </c>
      <c r="G61" t="s">
        <v>12</v>
      </c>
      <c r="H61" t="s">
        <v>13</v>
      </c>
      <c r="I61" t="s">
        <v>41</v>
      </c>
      <c r="J61">
        <v>4</v>
      </c>
      <c r="K61" t="str">
        <f t="shared" si="0"/>
        <v>above 25</v>
      </c>
    </row>
    <row r="62" spans="1:11" x14ac:dyDescent="0.35">
      <c r="A62" t="s">
        <v>10</v>
      </c>
      <c r="B62">
        <v>26</v>
      </c>
      <c r="C62">
        <v>1</v>
      </c>
      <c r="D62">
        <v>400000</v>
      </c>
      <c r="E62" t="s">
        <v>21</v>
      </c>
      <c r="F62">
        <v>2500</v>
      </c>
      <c r="G62" t="s">
        <v>22</v>
      </c>
      <c r="H62" t="s">
        <v>19</v>
      </c>
      <c r="I62" t="s">
        <v>33</v>
      </c>
      <c r="J62">
        <v>10</v>
      </c>
      <c r="K62" t="str">
        <f t="shared" si="0"/>
        <v>above 25</v>
      </c>
    </row>
    <row r="63" spans="1:11" x14ac:dyDescent="0.35">
      <c r="A63" t="s">
        <v>15</v>
      </c>
      <c r="B63">
        <v>18</v>
      </c>
      <c r="C63">
        <v>0</v>
      </c>
      <c r="D63">
        <v>0</v>
      </c>
      <c r="E63" t="s">
        <v>11</v>
      </c>
      <c r="F63">
        <v>200</v>
      </c>
      <c r="G63" t="s">
        <v>12</v>
      </c>
      <c r="H63" t="s">
        <v>13</v>
      </c>
      <c r="I63" t="s">
        <v>29</v>
      </c>
      <c r="J63">
        <v>5</v>
      </c>
      <c r="K63" t="str">
        <f t="shared" si="0"/>
        <v>below 25</v>
      </c>
    </row>
    <row r="64" spans="1:11" x14ac:dyDescent="0.35">
      <c r="A64" t="s">
        <v>10</v>
      </c>
      <c r="B64">
        <v>27</v>
      </c>
      <c r="C64">
        <v>1</v>
      </c>
      <c r="D64">
        <v>400000</v>
      </c>
      <c r="E64" t="s">
        <v>18</v>
      </c>
      <c r="F64">
        <v>1000</v>
      </c>
      <c r="G64" t="s">
        <v>16</v>
      </c>
      <c r="H64" t="s">
        <v>17</v>
      </c>
      <c r="I64" t="s">
        <v>14</v>
      </c>
      <c r="J64">
        <v>8</v>
      </c>
      <c r="K64" t="str">
        <f t="shared" si="0"/>
        <v>above 25</v>
      </c>
    </row>
    <row r="65" spans="1:11" x14ac:dyDescent="0.35">
      <c r="A65" t="s">
        <v>10</v>
      </c>
      <c r="B65">
        <v>27</v>
      </c>
      <c r="C65">
        <v>1</v>
      </c>
      <c r="D65">
        <v>250000</v>
      </c>
      <c r="E65" t="s">
        <v>18</v>
      </c>
      <c r="F65">
        <v>1500</v>
      </c>
      <c r="G65" t="s">
        <v>30</v>
      </c>
      <c r="H65" t="s">
        <v>17</v>
      </c>
      <c r="I65" t="s">
        <v>35</v>
      </c>
      <c r="J65">
        <v>5</v>
      </c>
      <c r="K65" t="str">
        <f t="shared" si="0"/>
        <v>above 25</v>
      </c>
    </row>
    <row r="66" spans="1:11" x14ac:dyDescent="0.35">
      <c r="A66" t="s">
        <v>15</v>
      </c>
      <c r="B66">
        <v>23</v>
      </c>
      <c r="C66">
        <v>1</v>
      </c>
      <c r="D66">
        <v>150000</v>
      </c>
      <c r="E66" t="s">
        <v>18</v>
      </c>
      <c r="F66">
        <v>1000</v>
      </c>
      <c r="G66" t="s">
        <v>12</v>
      </c>
      <c r="H66" t="s">
        <v>13</v>
      </c>
      <c r="I66" t="s">
        <v>29</v>
      </c>
      <c r="J66">
        <v>7</v>
      </c>
      <c r="K66" t="str">
        <f t="shared" si="0"/>
        <v>below 25</v>
      </c>
    </row>
    <row r="67" spans="1:11" x14ac:dyDescent="0.35">
      <c r="A67" t="s">
        <v>10</v>
      </c>
      <c r="B67">
        <v>36</v>
      </c>
      <c r="C67">
        <v>1</v>
      </c>
      <c r="D67">
        <v>600000</v>
      </c>
      <c r="E67" t="s">
        <v>38</v>
      </c>
      <c r="F67">
        <v>8500</v>
      </c>
      <c r="G67" t="s">
        <v>30</v>
      </c>
      <c r="H67" t="s">
        <v>19</v>
      </c>
      <c r="I67" t="s">
        <v>41</v>
      </c>
      <c r="J67">
        <v>10</v>
      </c>
      <c r="K67" t="str">
        <f t="shared" ref="K67:K101" si="1">IF(B67&lt;25,"below 25","above 25")</f>
        <v>above 25</v>
      </c>
    </row>
    <row r="68" spans="1:11" x14ac:dyDescent="0.35">
      <c r="A68" t="s">
        <v>15</v>
      </c>
      <c r="B68">
        <v>29</v>
      </c>
      <c r="C68">
        <v>0</v>
      </c>
      <c r="D68">
        <v>0</v>
      </c>
      <c r="E68" t="s">
        <v>43</v>
      </c>
      <c r="F68">
        <v>1000</v>
      </c>
      <c r="G68" t="s">
        <v>12</v>
      </c>
      <c r="H68" t="s">
        <v>13</v>
      </c>
      <c r="I68" t="s">
        <v>29</v>
      </c>
      <c r="J68">
        <v>1</v>
      </c>
      <c r="K68" t="str">
        <f t="shared" si="1"/>
        <v>above 25</v>
      </c>
    </row>
    <row r="69" spans="1:11" x14ac:dyDescent="0.35">
      <c r="A69" t="s">
        <v>10</v>
      </c>
      <c r="B69">
        <v>28</v>
      </c>
      <c r="C69">
        <v>1</v>
      </c>
      <c r="D69">
        <v>400000</v>
      </c>
      <c r="E69" t="s">
        <v>18</v>
      </c>
      <c r="F69">
        <v>1200</v>
      </c>
      <c r="G69" t="s">
        <v>16</v>
      </c>
      <c r="H69" t="s">
        <v>17</v>
      </c>
      <c r="I69" t="s">
        <v>20</v>
      </c>
      <c r="J69">
        <v>15</v>
      </c>
      <c r="K69" t="str">
        <f t="shared" si="1"/>
        <v>above 25</v>
      </c>
    </row>
    <row r="70" spans="1:11" x14ac:dyDescent="0.35">
      <c r="A70" t="s">
        <v>10</v>
      </c>
      <c r="B70">
        <v>23</v>
      </c>
      <c r="C70">
        <v>1</v>
      </c>
      <c r="D70">
        <v>150000</v>
      </c>
      <c r="E70" t="s">
        <v>21</v>
      </c>
      <c r="F70">
        <v>500</v>
      </c>
      <c r="G70" t="s">
        <v>22</v>
      </c>
      <c r="H70" t="s">
        <v>44</v>
      </c>
      <c r="I70" t="s">
        <v>14</v>
      </c>
      <c r="J70">
        <v>8</v>
      </c>
      <c r="K70" t="str">
        <f t="shared" si="1"/>
        <v>below 25</v>
      </c>
    </row>
    <row r="71" spans="1:11" x14ac:dyDescent="0.35">
      <c r="A71" t="s">
        <v>15</v>
      </c>
      <c r="B71">
        <v>27</v>
      </c>
      <c r="C71">
        <v>1</v>
      </c>
      <c r="D71">
        <v>350000</v>
      </c>
      <c r="E71" t="s">
        <v>11</v>
      </c>
      <c r="F71">
        <v>2500</v>
      </c>
      <c r="G71" t="s">
        <v>12</v>
      </c>
      <c r="H71" t="s">
        <v>13</v>
      </c>
      <c r="I71" t="s">
        <v>31</v>
      </c>
      <c r="J71">
        <v>10</v>
      </c>
      <c r="K71" t="str">
        <f t="shared" si="1"/>
        <v>above 25</v>
      </c>
    </row>
    <row r="72" spans="1:11" x14ac:dyDescent="0.35">
      <c r="A72" t="s">
        <v>10</v>
      </c>
      <c r="B72">
        <v>29</v>
      </c>
      <c r="C72">
        <v>1</v>
      </c>
      <c r="D72">
        <v>400000</v>
      </c>
      <c r="E72" t="s">
        <v>21</v>
      </c>
      <c r="F72">
        <v>3000</v>
      </c>
      <c r="G72" t="s">
        <v>30</v>
      </c>
      <c r="H72" t="s">
        <v>24</v>
      </c>
      <c r="I72" t="s">
        <v>31</v>
      </c>
      <c r="J72">
        <v>10</v>
      </c>
      <c r="K72" t="str">
        <f t="shared" si="1"/>
        <v>above 25</v>
      </c>
    </row>
    <row r="73" spans="1:11" x14ac:dyDescent="0.35">
      <c r="A73" t="s">
        <v>15</v>
      </c>
      <c r="B73">
        <v>25</v>
      </c>
      <c r="C73">
        <v>1</v>
      </c>
      <c r="D73">
        <v>400000</v>
      </c>
      <c r="E73" t="s">
        <v>21</v>
      </c>
      <c r="F73">
        <v>3000</v>
      </c>
      <c r="G73" t="s">
        <v>34</v>
      </c>
      <c r="H73" t="s">
        <v>17</v>
      </c>
      <c r="I73" t="s">
        <v>14</v>
      </c>
      <c r="J73">
        <v>8</v>
      </c>
      <c r="K73" t="str">
        <f t="shared" si="1"/>
        <v>above 25</v>
      </c>
    </row>
    <row r="74" spans="1:11" x14ac:dyDescent="0.35">
      <c r="A74" t="s">
        <v>10</v>
      </c>
      <c r="B74">
        <v>35</v>
      </c>
      <c r="C74">
        <v>1</v>
      </c>
      <c r="D74">
        <v>300000</v>
      </c>
      <c r="E74" t="s">
        <v>11</v>
      </c>
      <c r="F74">
        <v>2000</v>
      </c>
      <c r="G74" t="s">
        <v>34</v>
      </c>
      <c r="H74" t="s">
        <v>17</v>
      </c>
      <c r="I74" t="s">
        <v>20</v>
      </c>
      <c r="J74">
        <v>10</v>
      </c>
      <c r="K74" t="str">
        <f t="shared" si="1"/>
        <v>above 25</v>
      </c>
    </row>
    <row r="75" spans="1:11" x14ac:dyDescent="0.35">
      <c r="A75" t="s">
        <v>10</v>
      </c>
      <c r="B75">
        <v>37</v>
      </c>
      <c r="C75">
        <v>1</v>
      </c>
      <c r="D75">
        <v>400000</v>
      </c>
      <c r="E75" t="s">
        <v>11</v>
      </c>
      <c r="F75">
        <v>5000</v>
      </c>
      <c r="G75" t="s">
        <v>22</v>
      </c>
      <c r="H75" t="s">
        <v>19</v>
      </c>
      <c r="I75" t="s">
        <v>41</v>
      </c>
      <c r="J75">
        <v>21</v>
      </c>
      <c r="K75" t="str">
        <f t="shared" si="1"/>
        <v>above 25</v>
      </c>
    </row>
    <row r="76" spans="1:11" x14ac:dyDescent="0.35">
      <c r="A76" t="s">
        <v>15</v>
      </c>
      <c r="B76">
        <v>23</v>
      </c>
      <c r="C76">
        <v>1</v>
      </c>
      <c r="D76">
        <v>400000</v>
      </c>
      <c r="E76" t="s">
        <v>11</v>
      </c>
      <c r="F76">
        <v>15000</v>
      </c>
      <c r="G76" t="s">
        <v>12</v>
      </c>
      <c r="H76" t="s">
        <v>13</v>
      </c>
      <c r="I76" t="s">
        <v>29</v>
      </c>
      <c r="J76">
        <v>2</v>
      </c>
      <c r="K76" t="str">
        <f t="shared" si="1"/>
        <v>below 25</v>
      </c>
    </row>
    <row r="77" spans="1:11" x14ac:dyDescent="0.35">
      <c r="A77" t="s">
        <v>10</v>
      </c>
      <c r="B77">
        <v>18</v>
      </c>
      <c r="C77">
        <v>0</v>
      </c>
      <c r="D77">
        <v>0</v>
      </c>
      <c r="E77" t="s">
        <v>25</v>
      </c>
      <c r="F77">
        <v>5000</v>
      </c>
      <c r="G77" t="s">
        <v>16</v>
      </c>
      <c r="H77" t="s">
        <v>17</v>
      </c>
      <c r="I77" t="s">
        <v>35</v>
      </c>
      <c r="J77">
        <v>5</v>
      </c>
      <c r="K77" t="str">
        <f t="shared" si="1"/>
        <v>below 25</v>
      </c>
    </row>
    <row r="78" spans="1:11" x14ac:dyDescent="0.35">
      <c r="A78" t="s">
        <v>10</v>
      </c>
      <c r="B78">
        <v>20</v>
      </c>
      <c r="C78">
        <v>0</v>
      </c>
      <c r="D78">
        <v>0</v>
      </c>
      <c r="E78" t="s">
        <v>21</v>
      </c>
      <c r="F78">
        <v>600</v>
      </c>
      <c r="G78" t="s">
        <v>30</v>
      </c>
      <c r="H78" t="s">
        <v>24</v>
      </c>
      <c r="I78" t="s">
        <v>31</v>
      </c>
      <c r="J78">
        <v>15</v>
      </c>
      <c r="K78" t="str">
        <f t="shared" si="1"/>
        <v>below 25</v>
      </c>
    </row>
    <row r="79" spans="1:11" x14ac:dyDescent="0.35">
      <c r="A79" t="s">
        <v>15</v>
      </c>
      <c r="B79">
        <v>24</v>
      </c>
      <c r="C79">
        <v>0</v>
      </c>
      <c r="D79">
        <v>0</v>
      </c>
      <c r="E79" t="s">
        <v>28</v>
      </c>
      <c r="F79">
        <v>500</v>
      </c>
      <c r="G79" t="s">
        <v>34</v>
      </c>
      <c r="H79" t="s">
        <v>13</v>
      </c>
      <c r="I79" t="s">
        <v>14</v>
      </c>
      <c r="J79">
        <v>7</v>
      </c>
      <c r="K79" t="str">
        <f t="shared" si="1"/>
        <v>below 25</v>
      </c>
    </row>
    <row r="80" spans="1:11" x14ac:dyDescent="0.35">
      <c r="A80" t="s">
        <v>15</v>
      </c>
      <c r="B80">
        <v>26</v>
      </c>
      <c r="C80">
        <v>1</v>
      </c>
      <c r="D80">
        <v>350000</v>
      </c>
      <c r="E80" t="s">
        <v>28</v>
      </c>
      <c r="F80">
        <v>2500</v>
      </c>
      <c r="G80" t="s">
        <v>45</v>
      </c>
      <c r="H80" t="s">
        <v>13</v>
      </c>
      <c r="I80" t="s">
        <v>29</v>
      </c>
      <c r="J80">
        <v>5</v>
      </c>
      <c r="K80" t="str">
        <f t="shared" si="1"/>
        <v>above 25</v>
      </c>
    </row>
    <row r="81" spans="1:11" x14ac:dyDescent="0.35">
      <c r="A81" t="s">
        <v>15</v>
      </c>
      <c r="B81">
        <v>27</v>
      </c>
      <c r="C81">
        <v>0</v>
      </c>
      <c r="D81">
        <v>0</v>
      </c>
      <c r="E81" t="s">
        <v>28</v>
      </c>
      <c r="F81">
        <v>1500</v>
      </c>
      <c r="G81" t="s">
        <v>12</v>
      </c>
      <c r="H81" t="s">
        <v>13</v>
      </c>
      <c r="I81" t="s">
        <v>14</v>
      </c>
      <c r="J81">
        <v>6</v>
      </c>
      <c r="K81" t="str">
        <f t="shared" si="1"/>
        <v>above 25</v>
      </c>
    </row>
    <row r="82" spans="1:11" x14ac:dyDescent="0.35">
      <c r="A82" t="s">
        <v>10</v>
      </c>
      <c r="B82">
        <v>25</v>
      </c>
      <c r="C82">
        <v>1</v>
      </c>
      <c r="D82">
        <v>200000</v>
      </c>
      <c r="E82" t="s">
        <v>21</v>
      </c>
      <c r="F82">
        <v>1000</v>
      </c>
      <c r="G82" t="s">
        <v>30</v>
      </c>
      <c r="H82" t="s">
        <v>13</v>
      </c>
      <c r="I82" t="s">
        <v>14</v>
      </c>
      <c r="J82">
        <v>10</v>
      </c>
      <c r="K82" t="str">
        <f t="shared" si="1"/>
        <v>above 25</v>
      </c>
    </row>
    <row r="83" spans="1:11" x14ac:dyDescent="0.35">
      <c r="A83" t="s">
        <v>15</v>
      </c>
      <c r="B83">
        <v>32</v>
      </c>
      <c r="C83">
        <v>1</v>
      </c>
      <c r="D83">
        <v>300000</v>
      </c>
      <c r="E83" t="s">
        <v>11</v>
      </c>
      <c r="F83">
        <v>5000</v>
      </c>
      <c r="G83" t="s">
        <v>34</v>
      </c>
      <c r="H83" t="s">
        <v>46</v>
      </c>
      <c r="I83" t="s">
        <v>20</v>
      </c>
      <c r="J83">
        <v>15</v>
      </c>
      <c r="K83" t="str">
        <f t="shared" si="1"/>
        <v>above 25</v>
      </c>
    </row>
    <row r="84" spans="1:11" x14ac:dyDescent="0.35">
      <c r="A84" t="s">
        <v>10</v>
      </c>
      <c r="B84">
        <v>26</v>
      </c>
      <c r="C84">
        <v>1</v>
      </c>
      <c r="D84">
        <v>250000</v>
      </c>
      <c r="E84" t="s">
        <v>18</v>
      </c>
      <c r="F84">
        <v>1500</v>
      </c>
      <c r="G84" t="s">
        <v>16</v>
      </c>
      <c r="H84" t="s">
        <v>17</v>
      </c>
      <c r="I84" t="s">
        <v>41</v>
      </c>
      <c r="J84">
        <v>5</v>
      </c>
      <c r="K84" t="str">
        <f t="shared" si="1"/>
        <v>above 25</v>
      </c>
    </row>
    <row r="85" spans="1:11" x14ac:dyDescent="0.35">
      <c r="A85" t="s">
        <v>10</v>
      </c>
      <c r="B85">
        <v>25</v>
      </c>
      <c r="C85">
        <v>1</v>
      </c>
      <c r="D85">
        <v>300000</v>
      </c>
      <c r="E85" t="s">
        <v>21</v>
      </c>
      <c r="F85">
        <v>5000</v>
      </c>
      <c r="G85" t="s">
        <v>32</v>
      </c>
      <c r="H85" t="s">
        <v>13</v>
      </c>
      <c r="I85" t="s">
        <v>14</v>
      </c>
      <c r="J85">
        <v>10</v>
      </c>
      <c r="K85" t="str">
        <f t="shared" si="1"/>
        <v>above 25</v>
      </c>
    </row>
    <row r="86" spans="1:11" x14ac:dyDescent="0.35">
      <c r="A86" t="s">
        <v>10</v>
      </c>
      <c r="B86">
        <v>24</v>
      </c>
      <c r="C86">
        <v>0</v>
      </c>
      <c r="D86">
        <v>0</v>
      </c>
      <c r="E86" t="s">
        <v>18</v>
      </c>
      <c r="F86">
        <v>500</v>
      </c>
      <c r="G86" t="s">
        <v>30</v>
      </c>
      <c r="H86" t="s">
        <v>17</v>
      </c>
      <c r="I86" t="s">
        <v>14</v>
      </c>
      <c r="J86">
        <v>5</v>
      </c>
      <c r="K86" t="str">
        <f t="shared" si="1"/>
        <v>below 25</v>
      </c>
    </row>
    <row r="87" spans="1:11" x14ac:dyDescent="0.35">
      <c r="A87" t="s">
        <v>15</v>
      </c>
      <c r="B87">
        <v>21</v>
      </c>
      <c r="C87">
        <v>0</v>
      </c>
      <c r="D87">
        <v>0</v>
      </c>
      <c r="E87" t="s">
        <v>11</v>
      </c>
      <c r="F87">
        <v>500</v>
      </c>
      <c r="G87" t="s">
        <v>12</v>
      </c>
      <c r="H87" t="s">
        <v>13</v>
      </c>
      <c r="I87" t="s">
        <v>29</v>
      </c>
      <c r="J87">
        <v>5</v>
      </c>
      <c r="K87" t="str">
        <f t="shared" si="1"/>
        <v>below 25</v>
      </c>
    </row>
    <row r="88" spans="1:11" x14ac:dyDescent="0.35">
      <c r="A88" t="s">
        <v>10</v>
      </c>
      <c r="B88">
        <v>28</v>
      </c>
      <c r="C88">
        <v>1</v>
      </c>
      <c r="D88">
        <v>350000</v>
      </c>
      <c r="E88" t="s">
        <v>28</v>
      </c>
      <c r="F88">
        <v>1500</v>
      </c>
      <c r="G88" t="s">
        <v>22</v>
      </c>
      <c r="H88" t="s">
        <v>13</v>
      </c>
      <c r="I88" t="s">
        <v>33</v>
      </c>
      <c r="J88">
        <v>5</v>
      </c>
      <c r="K88" t="str">
        <f t="shared" si="1"/>
        <v>above 25</v>
      </c>
    </row>
    <row r="89" spans="1:11" x14ac:dyDescent="0.35">
      <c r="A89" t="s">
        <v>10</v>
      </c>
      <c r="B89">
        <v>26</v>
      </c>
      <c r="C89">
        <v>1</v>
      </c>
      <c r="D89">
        <v>250000</v>
      </c>
      <c r="E89" t="s">
        <v>18</v>
      </c>
      <c r="F89">
        <v>1000</v>
      </c>
      <c r="G89" t="s">
        <v>16</v>
      </c>
      <c r="H89" t="s">
        <v>17</v>
      </c>
      <c r="I89" t="s">
        <v>14</v>
      </c>
      <c r="J89">
        <v>10</v>
      </c>
      <c r="K89" t="str">
        <f t="shared" si="1"/>
        <v>above 25</v>
      </c>
    </row>
    <row r="90" spans="1:11" x14ac:dyDescent="0.35">
      <c r="A90" t="s">
        <v>10</v>
      </c>
      <c r="B90">
        <v>27</v>
      </c>
      <c r="C90">
        <v>1</v>
      </c>
      <c r="D90">
        <v>400000</v>
      </c>
      <c r="E90" t="s">
        <v>38</v>
      </c>
      <c r="F90">
        <v>8500</v>
      </c>
      <c r="G90" t="s">
        <v>22</v>
      </c>
      <c r="H90" t="s">
        <v>13</v>
      </c>
      <c r="I90" t="s">
        <v>35</v>
      </c>
      <c r="J90">
        <v>5</v>
      </c>
      <c r="K90" t="str">
        <f t="shared" si="1"/>
        <v>above 25</v>
      </c>
    </row>
    <row r="91" spans="1:11" x14ac:dyDescent="0.35">
      <c r="A91" t="s">
        <v>15</v>
      </c>
      <c r="B91">
        <v>24</v>
      </c>
      <c r="C91">
        <v>0</v>
      </c>
      <c r="D91">
        <v>0</v>
      </c>
      <c r="E91" t="s">
        <v>11</v>
      </c>
      <c r="F91">
        <v>1000</v>
      </c>
      <c r="G91" t="s">
        <v>12</v>
      </c>
      <c r="H91" t="s">
        <v>13</v>
      </c>
      <c r="I91" t="s">
        <v>29</v>
      </c>
      <c r="J91">
        <v>8</v>
      </c>
      <c r="K91" t="str">
        <f t="shared" si="1"/>
        <v>below 25</v>
      </c>
    </row>
    <row r="92" spans="1:11" x14ac:dyDescent="0.35">
      <c r="A92" t="s">
        <v>15</v>
      </c>
      <c r="B92">
        <v>26</v>
      </c>
      <c r="C92">
        <v>1</v>
      </c>
      <c r="D92">
        <v>250000</v>
      </c>
      <c r="E92" t="s">
        <v>21</v>
      </c>
      <c r="F92">
        <v>2500</v>
      </c>
      <c r="G92" t="s">
        <v>34</v>
      </c>
      <c r="H92" t="s">
        <v>17</v>
      </c>
      <c r="I92" t="s">
        <v>14</v>
      </c>
      <c r="J92">
        <v>8</v>
      </c>
      <c r="K92" t="str">
        <f t="shared" si="1"/>
        <v>above 25</v>
      </c>
    </row>
    <row r="93" spans="1:11" x14ac:dyDescent="0.35">
      <c r="A93" t="s">
        <v>10</v>
      </c>
      <c r="B93">
        <v>21</v>
      </c>
      <c r="C93">
        <v>1</v>
      </c>
      <c r="D93">
        <v>120000</v>
      </c>
      <c r="E93" t="s">
        <v>18</v>
      </c>
      <c r="F93">
        <v>500</v>
      </c>
      <c r="G93" t="s">
        <v>30</v>
      </c>
      <c r="H93" t="s">
        <v>19</v>
      </c>
      <c r="I93" t="s">
        <v>14</v>
      </c>
      <c r="J93">
        <v>5</v>
      </c>
      <c r="K93" t="str">
        <f t="shared" si="1"/>
        <v>below 25</v>
      </c>
    </row>
    <row r="94" spans="1:11" x14ac:dyDescent="0.35">
      <c r="A94" t="s">
        <v>10</v>
      </c>
      <c r="B94">
        <v>23</v>
      </c>
      <c r="C94">
        <v>1</v>
      </c>
      <c r="D94">
        <v>200000</v>
      </c>
      <c r="E94" t="s">
        <v>21</v>
      </c>
      <c r="F94">
        <v>1500</v>
      </c>
      <c r="G94" t="s">
        <v>16</v>
      </c>
      <c r="H94" t="s">
        <v>19</v>
      </c>
      <c r="I94" t="s">
        <v>20</v>
      </c>
      <c r="J94">
        <v>9</v>
      </c>
      <c r="K94" t="str">
        <f t="shared" si="1"/>
        <v>below 25</v>
      </c>
    </row>
    <row r="95" spans="1:11" x14ac:dyDescent="0.35">
      <c r="A95" t="s">
        <v>15</v>
      </c>
      <c r="B95">
        <v>22</v>
      </c>
      <c r="C95">
        <v>1</v>
      </c>
      <c r="D95">
        <v>120000</v>
      </c>
      <c r="E95" t="s">
        <v>21</v>
      </c>
      <c r="F95">
        <v>1500</v>
      </c>
      <c r="G95" t="s">
        <v>16</v>
      </c>
      <c r="H95" t="s">
        <v>24</v>
      </c>
      <c r="I95" t="s">
        <v>14</v>
      </c>
      <c r="J95">
        <v>8</v>
      </c>
      <c r="K95" t="str">
        <f t="shared" si="1"/>
        <v>below 25</v>
      </c>
    </row>
    <row r="96" spans="1:11" x14ac:dyDescent="0.35">
      <c r="A96" t="s">
        <v>10</v>
      </c>
      <c r="B96">
        <v>25</v>
      </c>
      <c r="C96">
        <v>1</v>
      </c>
      <c r="D96">
        <v>260000</v>
      </c>
      <c r="E96" t="s">
        <v>28</v>
      </c>
      <c r="F96">
        <v>2000</v>
      </c>
      <c r="G96" t="s">
        <v>16</v>
      </c>
      <c r="H96" t="s">
        <v>13</v>
      </c>
      <c r="I96" t="s">
        <v>33</v>
      </c>
      <c r="J96">
        <v>5</v>
      </c>
      <c r="K96" t="str">
        <f t="shared" si="1"/>
        <v>above 25</v>
      </c>
    </row>
    <row r="97" spans="1:11" x14ac:dyDescent="0.35">
      <c r="A97" t="s">
        <v>10</v>
      </c>
      <c r="B97">
        <v>22</v>
      </c>
      <c r="C97">
        <v>0</v>
      </c>
      <c r="D97">
        <v>0</v>
      </c>
      <c r="E97" t="s">
        <v>18</v>
      </c>
      <c r="F97">
        <v>500</v>
      </c>
      <c r="G97" t="s">
        <v>16</v>
      </c>
      <c r="H97" t="s">
        <v>17</v>
      </c>
      <c r="I97" t="s">
        <v>14</v>
      </c>
      <c r="J97">
        <v>10</v>
      </c>
      <c r="K97" t="str">
        <f t="shared" si="1"/>
        <v>below 25</v>
      </c>
    </row>
    <row r="98" spans="1:11" x14ac:dyDescent="0.35">
      <c r="A98" t="s">
        <v>10</v>
      </c>
      <c r="B98">
        <v>29</v>
      </c>
      <c r="C98">
        <v>1</v>
      </c>
      <c r="D98">
        <v>250000</v>
      </c>
      <c r="E98" t="s">
        <v>21</v>
      </c>
      <c r="F98">
        <v>2000</v>
      </c>
      <c r="G98" t="s">
        <v>34</v>
      </c>
      <c r="H98" t="s">
        <v>19</v>
      </c>
      <c r="I98" t="s">
        <v>29</v>
      </c>
      <c r="J98">
        <v>2</v>
      </c>
      <c r="K98" t="str">
        <f t="shared" si="1"/>
        <v>above 25</v>
      </c>
    </row>
    <row r="99" spans="1:11" x14ac:dyDescent="0.35">
      <c r="A99" t="s">
        <v>15</v>
      </c>
      <c r="B99">
        <v>23</v>
      </c>
      <c r="C99">
        <v>1</v>
      </c>
      <c r="D99">
        <v>150000</v>
      </c>
      <c r="E99" t="s">
        <v>11</v>
      </c>
      <c r="F99">
        <v>1000</v>
      </c>
      <c r="G99" t="s">
        <v>12</v>
      </c>
      <c r="H99" t="s">
        <v>13</v>
      </c>
      <c r="I99" t="s">
        <v>35</v>
      </c>
      <c r="J99">
        <v>10</v>
      </c>
      <c r="K99" t="str">
        <f t="shared" si="1"/>
        <v>below 25</v>
      </c>
    </row>
    <row r="100" spans="1:11" x14ac:dyDescent="0.35">
      <c r="A100" t="s">
        <v>15</v>
      </c>
      <c r="B100">
        <v>22</v>
      </c>
      <c r="C100">
        <v>0</v>
      </c>
      <c r="D100">
        <v>0</v>
      </c>
      <c r="E100" t="s">
        <v>21</v>
      </c>
      <c r="F100">
        <v>1000</v>
      </c>
      <c r="G100" t="s">
        <v>34</v>
      </c>
      <c r="H100" t="s">
        <v>17</v>
      </c>
      <c r="I100" t="s">
        <v>14</v>
      </c>
      <c r="J100">
        <v>6</v>
      </c>
      <c r="K100" t="str">
        <f t="shared" si="1"/>
        <v>below 25</v>
      </c>
    </row>
    <row r="101" spans="1:11" x14ac:dyDescent="0.35">
      <c r="A101" t="s">
        <v>10</v>
      </c>
      <c r="B101">
        <v>26</v>
      </c>
      <c r="C101">
        <v>1</v>
      </c>
      <c r="D101">
        <v>250000</v>
      </c>
      <c r="E101" t="s">
        <v>18</v>
      </c>
      <c r="F101">
        <v>1500</v>
      </c>
      <c r="G101" t="s">
        <v>22</v>
      </c>
      <c r="H101" t="s">
        <v>13</v>
      </c>
      <c r="I101" t="s">
        <v>20</v>
      </c>
      <c r="J101">
        <v>10</v>
      </c>
      <c r="K101" t="str">
        <f t="shared" si="1"/>
        <v>above 25</v>
      </c>
    </row>
    <row r="102" spans="1:11" x14ac:dyDescent="0.35">
      <c r="F102">
        <f>SUM(F2:F101)</f>
        <v>286310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21A1-E221-4B3B-9901-ACD857DAFB0E}">
  <dimension ref="AP13"/>
  <sheetViews>
    <sheetView showGridLines="0" tabSelected="1" zoomScale="49" zoomScaleNormal="52" workbookViewId="0">
      <selection activeCell="AO25" sqref="AO25"/>
    </sheetView>
  </sheetViews>
  <sheetFormatPr defaultRowHeight="15" x14ac:dyDescent="0.35"/>
  <cols>
    <col min="1" max="16384" width="8.7265625" style="2"/>
  </cols>
  <sheetData>
    <row r="13" spans="42:42" ht="31.8" x14ac:dyDescent="0.5">
      <c r="AP1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1BC3-8FB7-49F8-9C03-169BE526B37E}">
  <dimension ref="A1:P41"/>
  <sheetViews>
    <sheetView showGridLines="0" topLeftCell="C1" zoomScale="75" zoomScaleNormal="59" workbookViewId="0">
      <selection activeCell="L7" sqref="L7"/>
    </sheetView>
  </sheetViews>
  <sheetFormatPr defaultRowHeight="15" x14ac:dyDescent="0.35"/>
  <cols>
    <col min="1" max="1" width="30.7265625" style="3" bestFit="1" customWidth="1"/>
    <col min="2" max="2" width="15" style="3" customWidth="1"/>
    <col min="3" max="4" width="8.7265625" style="3"/>
    <col min="5" max="5" width="30.7265625" style="3" bestFit="1" customWidth="1"/>
    <col min="6" max="6" width="17.81640625" style="3" bestFit="1" customWidth="1"/>
    <col min="7" max="7" width="20.54296875" style="3" bestFit="1" customWidth="1"/>
    <col min="8" max="8" width="8.7265625" style="3"/>
    <col min="9" max="9" width="21.54296875" style="3" bestFit="1" customWidth="1"/>
    <col min="10" max="10" width="11.453125" style="3" bestFit="1" customWidth="1"/>
    <col min="11" max="11" width="24.81640625" style="3" bestFit="1" customWidth="1"/>
    <col min="12" max="12" width="29.1796875" style="3" bestFit="1" customWidth="1"/>
    <col min="13" max="13" width="21.54296875" style="3" bestFit="1" customWidth="1"/>
    <col min="14" max="14" width="11.453125" style="3" bestFit="1" customWidth="1"/>
    <col min="15" max="15" width="24.81640625" style="3" customWidth="1"/>
    <col min="16" max="16" width="29.1796875" style="3" bestFit="1" customWidth="1"/>
    <col min="17" max="16384" width="8.7265625" style="3"/>
  </cols>
  <sheetData>
    <row r="1" spans="1:16" x14ac:dyDescent="0.35">
      <c r="A1" s="1" t="s">
        <v>4</v>
      </c>
      <c r="B1" t="s">
        <v>51</v>
      </c>
      <c r="C1"/>
      <c r="E1" s="1" t="s">
        <v>0</v>
      </c>
      <c r="F1" s="6" t="s">
        <v>51</v>
      </c>
      <c r="G1"/>
      <c r="I1" s="1" t="s">
        <v>2</v>
      </c>
      <c r="J1" t="s">
        <v>55</v>
      </c>
      <c r="K1" s="5" t="s">
        <v>50</v>
      </c>
      <c r="L1" s="5" t="s">
        <v>56</v>
      </c>
    </row>
    <row r="2" spans="1:16" x14ac:dyDescent="0.35">
      <c r="A2" t="s">
        <v>11</v>
      </c>
      <c r="B2" s="5">
        <v>55900</v>
      </c>
      <c r="C2"/>
      <c r="E2" t="s">
        <v>15</v>
      </c>
      <c r="F2" s="5">
        <v>83700</v>
      </c>
      <c r="G2"/>
      <c r="I2">
        <v>0</v>
      </c>
      <c r="J2" s="8">
        <v>41</v>
      </c>
      <c r="K2" s="5">
        <v>8782.4390243902435</v>
      </c>
      <c r="L2" s="5">
        <v>3239.4736842105262</v>
      </c>
    </row>
    <row r="3" spans="1:16" x14ac:dyDescent="0.35">
      <c r="A3" t="s">
        <v>43</v>
      </c>
      <c r="B3" s="5">
        <v>1000</v>
      </c>
      <c r="C3"/>
      <c r="E3" t="s">
        <v>10</v>
      </c>
      <c r="F3" s="5">
        <v>202610</v>
      </c>
      <c r="G3"/>
      <c r="I3">
        <v>1</v>
      </c>
      <c r="J3" s="8">
        <v>59</v>
      </c>
      <c r="K3" s="5">
        <v>276000</v>
      </c>
      <c r="L3" s="5">
        <v>2766.2711864406779</v>
      </c>
    </row>
    <row r="4" spans="1:16" x14ac:dyDescent="0.35">
      <c r="A4" t="s">
        <v>25</v>
      </c>
      <c r="B4" s="5">
        <v>38000</v>
      </c>
      <c r="C4"/>
      <c r="E4"/>
      <c r="F4"/>
      <c r="G4"/>
    </row>
    <row r="5" spans="1:16" x14ac:dyDescent="0.35">
      <c r="A5" t="s">
        <v>28</v>
      </c>
      <c r="B5" s="5">
        <v>24000</v>
      </c>
      <c r="C5"/>
      <c r="E5"/>
      <c r="F5"/>
      <c r="G5"/>
    </row>
    <row r="6" spans="1:16" x14ac:dyDescent="0.35">
      <c r="A6" t="s">
        <v>37</v>
      </c>
      <c r="B6" s="5">
        <v>5000</v>
      </c>
      <c r="C6"/>
      <c r="E6"/>
      <c r="F6"/>
      <c r="G6"/>
    </row>
    <row r="7" spans="1:16" x14ac:dyDescent="0.35">
      <c r="A7" t="s">
        <v>21</v>
      </c>
      <c r="B7" s="5">
        <v>68100</v>
      </c>
      <c r="C7"/>
      <c r="E7"/>
      <c r="F7"/>
      <c r="G7"/>
    </row>
    <row r="8" spans="1:16" x14ac:dyDescent="0.35">
      <c r="A8" t="s">
        <v>26</v>
      </c>
      <c r="B8" s="5">
        <v>2000</v>
      </c>
      <c r="C8"/>
      <c r="E8"/>
      <c r="F8"/>
      <c r="G8"/>
    </row>
    <row r="9" spans="1:16" x14ac:dyDescent="0.35">
      <c r="A9" t="s">
        <v>38</v>
      </c>
      <c r="B9" s="5">
        <v>24500</v>
      </c>
      <c r="C9"/>
      <c r="E9"/>
      <c r="F9"/>
      <c r="G9"/>
    </row>
    <row r="10" spans="1:16" x14ac:dyDescent="0.35">
      <c r="A10" t="s">
        <v>18</v>
      </c>
      <c r="B10" s="5">
        <v>67810</v>
      </c>
      <c r="C10"/>
      <c r="E10" s="1" t="s">
        <v>47</v>
      </c>
      <c r="F10" s="6" t="s">
        <v>51</v>
      </c>
      <c r="G10"/>
      <c r="M10"/>
      <c r="N10"/>
      <c r="O10"/>
      <c r="P10"/>
    </row>
    <row r="11" spans="1:16" x14ac:dyDescent="0.35">
      <c r="A11"/>
      <c r="B11"/>
      <c r="C11"/>
      <c r="E11" t="s">
        <v>49</v>
      </c>
      <c r="F11" s="5">
        <v>157110</v>
      </c>
      <c r="G11"/>
      <c r="M11"/>
      <c r="N11"/>
      <c r="O11"/>
    </row>
    <row r="12" spans="1:16" x14ac:dyDescent="0.35">
      <c r="A12"/>
      <c r="B12"/>
      <c r="C12"/>
      <c r="E12" t="s">
        <v>48</v>
      </c>
      <c r="F12" s="5">
        <v>129200</v>
      </c>
      <c r="G12"/>
      <c r="M12"/>
      <c r="N12"/>
      <c r="O12"/>
    </row>
    <row r="13" spans="1:16" x14ac:dyDescent="0.35">
      <c r="A13"/>
      <c r="B13"/>
      <c r="C13"/>
      <c r="E13"/>
      <c r="F13"/>
      <c r="G13"/>
      <c r="M13"/>
      <c r="N13"/>
      <c r="O13"/>
    </row>
    <row r="14" spans="1:16" x14ac:dyDescent="0.35">
      <c r="A14"/>
      <c r="B14"/>
      <c r="C14"/>
      <c r="E14"/>
      <c r="F14"/>
      <c r="G14"/>
      <c r="O14"/>
    </row>
    <row r="15" spans="1:16" x14ac:dyDescent="0.35">
      <c r="A15"/>
      <c r="B15"/>
      <c r="C15"/>
      <c r="E15"/>
      <c r="F15"/>
      <c r="G15"/>
      <c r="O15"/>
    </row>
    <row r="16" spans="1:16" x14ac:dyDescent="0.35">
      <c r="A16"/>
      <c r="B16"/>
      <c r="C16"/>
      <c r="E16"/>
      <c r="F16"/>
      <c r="G16"/>
      <c r="O16"/>
    </row>
    <row r="17" spans="1:15" x14ac:dyDescent="0.35">
      <c r="A17"/>
      <c r="B17"/>
      <c r="C17"/>
      <c r="E17" s="1" t="s">
        <v>2</v>
      </c>
      <c r="F17" t="s">
        <v>52</v>
      </c>
      <c r="G17" t="s">
        <v>53</v>
      </c>
      <c r="M17"/>
      <c r="N17"/>
      <c r="O17"/>
    </row>
    <row r="18" spans="1:15" x14ac:dyDescent="0.35">
      <c r="A18"/>
      <c r="B18"/>
      <c r="C18"/>
      <c r="E18">
        <v>0</v>
      </c>
      <c r="F18" s="8">
        <v>8782.4390243902435</v>
      </c>
      <c r="G18" s="8">
        <v>3239.4736842105262</v>
      </c>
      <c r="M18"/>
      <c r="N18"/>
      <c r="O18"/>
    </row>
    <row r="19" spans="1:15" x14ac:dyDescent="0.35">
      <c r="E19">
        <v>1</v>
      </c>
      <c r="F19" s="8">
        <v>276000</v>
      </c>
      <c r="G19" s="8">
        <v>2766.2711864406779</v>
      </c>
      <c r="M19"/>
      <c r="N19"/>
      <c r="O19"/>
    </row>
    <row r="20" spans="1:15" x14ac:dyDescent="0.35">
      <c r="E20"/>
      <c r="F20"/>
      <c r="G20"/>
      <c r="M20"/>
      <c r="N20"/>
      <c r="O20"/>
    </row>
    <row r="21" spans="1:15" x14ac:dyDescent="0.35">
      <c r="E21"/>
      <c r="F21"/>
      <c r="G21"/>
      <c r="M21"/>
      <c r="N21"/>
      <c r="O21"/>
    </row>
    <row r="22" spans="1:15" x14ac:dyDescent="0.35">
      <c r="E22"/>
      <c r="F22"/>
      <c r="G22"/>
      <c r="M22"/>
      <c r="N22"/>
      <c r="O22"/>
    </row>
    <row r="23" spans="1:15" x14ac:dyDescent="0.35">
      <c r="E23"/>
      <c r="F23"/>
      <c r="G23"/>
      <c r="M23"/>
      <c r="N23"/>
      <c r="O23"/>
    </row>
    <row r="24" spans="1:15" x14ac:dyDescent="0.35">
      <c r="E24" s="1" t="s">
        <v>4</v>
      </c>
      <c r="F24" s="4" t="s">
        <v>54</v>
      </c>
      <c r="G24"/>
      <c r="M24"/>
      <c r="N24"/>
      <c r="O24"/>
    </row>
    <row r="25" spans="1:15" x14ac:dyDescent="0.35">
      <c r="E25" t="s">
        <v>26</v>
      </c>
      <c r="F25" s="4">
        <v>15</v>
      </c>
      <c r="G25"/>
    </row>
    <row r="26" spans="1:15" x14ac:dyDescent="0.35">
      <c r="E26" t="s">
        <v>21</v>
      </c>
      <c r="F26" s="4">
        <v>9.5769230769230766</v>
      </c>
      <c r="G26"/>
    </row>
    <row r="27" spans="1:15" x14ac:dyDescent="0.35">
      <c r="E27" t="s">
        <v>38</v>
      </c>
      <c r="F27" s="4">
        <v>8.75</v>
      </c>
      <c r="G27"/>
    </row>
    <row r="28" spans="1:15" x14ac:dyDescent="0.35">
      <c r="E28" t="s">
        <v>11</v>
      </c>
      <c r="F28" s="4">
        <v>8.3636363636363633</v>
      </c>
      <c r="G28"/>
    </row>
    <row r="29" spans="1:15" x14ac:dyDescent="0.35">
      <c r="E29" t="s">
        <v>18</v>
      </c>
      <c r="F29" s="4">
        <v>7.3448275862068968</v>
      </c>
      <c r="G29"/>
    </row>
    <row r="30" spans="1:15" x14ac:dyDescent="0.35">
      <c r="E30" t="s">
        <v>25</v>
      </c>
      <c r="F30" s="4">
        <v>6.75</v>
      </c>
      <c r="G30"/>
    </row>
    <row r="31" spans="1:15" x14ac:dyDescent="0.35">
      <c r="E31" t="s">
        <v>28</v>
      </c>
      <c r="F31" s="4">
        <v>5.0909090909090908</v>
      </c>
      <c r="G31"/>
    </row>
    <row r="32" spans="1:15" x14ac:dyDescent="0.35">
      <c r="E32" t="s">
        <v>37</v>
      </c>
      <c r="F32" s="4">
        <v>2</v>
      </c>
      <c r="G32"/>
    </row>
    <row r="33" spans="5:7" x14ac:dyDescent="0.35">
      <c r="E33" t="s">
        <v>43</v>
      </c>
      <c r="F33" s="4">
        <v>1</v>
      </c>
      <c r="G33"/>
    </row>
    <row r="34" spans="5:7" x14ac:dyDescent="0.35">
      <c r="E34"/>
      <c r="F34"/>
      <c r="G34"/>
    </row>
    <row r="35" spans="5:7" x14ac:dyDescent="0.35">
      <c r="E35"/>
      <c r="F35"/>
      <c r="G35"/>
    </row>
    <row r="36" spans="5:7" x14ac:dyDescent="0.35">
      <c r="E36"/>
      <c r="F36"/>
      <c r="G36"/>
    </row>
    <row r="37" spans="5:7" x14ac:dyDescent="0.35">
      <c r="E37"/>
      <c r="F37"/>
      <c r="G37"/>
    </row>
    <row r="38" spans="5:7" x14ac:dyDescent="0.35">
      <c r="E38"/>
      <c r="F38"/>
      <c r="G38"/>
    </row>
    <row r="39" spans="5:7" x14ac:dyDescent="0.35">
      <c r="E39"/>
      <c r="F39"/>
      <c r="G39"/>
    </row>
    <row r="40" spans="5:7" x14ac:dyDescent="0.35">
      <c r="E40"/>
      <c r="F40"/>
      <c r="G40"/>
    </row>
    <row r="41" spans="5:7" x14ac:dyDescent="0.35">
      <c r="E41"/>
      <c r="F41"/>
      <c r="G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investment_survey</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vighnesh</dc:creator>
  <cp:lastModifiedBy>Vighnesh Rajput</cp:lastModifiedBy>
  <dcterms:created xsi:type="dcterms:W3CDTF">2025-11-08T11:04:19Z</dcterms:created>
  <dcterms:modified xsi:type="dcterms:W3CDTF">2026-03-13T14:53:57Z</dcterms:modified>
</cp:coreProperties>
</file>